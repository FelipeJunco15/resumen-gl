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actpoint360inc-my.sharepoint.com/personal/roberto_buentello_cp-360_com/Documents/"/>
    </mc:Choice>
  </mc:AlternateContent>
  <xr:revisionPtr revIDLastSave="0" documentId="8_{B2CECF4F-BA0B-4A5D-95F2-966C33E5EDCF}" xr6:coauthVersionLast="47" xr6:coauthVersionMax="47" xr10:uidLastSave="{00000000-0000-0000-0000-000000000000}"/>
  <bookViews>
    <workbookView xWindow="-28920" yWindow="-120" windowWidth="29040" windowHeight="15720" firstSheet="1" activeTab="2" xr2:uid="{5C5901ED-A8DE-4E92-84CA-6D99799831BA}"/>
  </bookViews>
  <sheets>
    <sheet name="Site Data" sheetId="1" state="hidden" r:id="rId1"/>
    <sheet name="Canada" sheetId="2" r:id="rId2"/>
    <sheet name="US" sheetId="7" r:id="rId3"/>
    <sheet name="CO" sheetId="9" r:id="rId4"/>
    <sheet name="PH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26" i="7" l="1"/>
  <c r="ES26" i="7" l="1"/>
  <c r="ER26" i="7" l="1"/>
  <c r="EQ26" i="7" l="1"/>
  <c r="CM51" i="7" l="1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EG52" i="7"/>
  <c r="EH52" i="7"/>
  <c r="EI52" i="7"/>
  <c r="EJ52" i="7"/>
  <c r="EK52" i="7"/>
  <c r="EL52" i="7"/>
  <c r="EM52" i="7"/>
  <c r="EN52" i="7"/>
  <c r="EO52" i="7"/>
  <c r="EP52" i="7"/>
  <c r="EQ52" i="7"/>
  <c r="ER52" i="7"/>
  <c r="ES52" i="7"/>
  <c r="ET52" i="7"/>
  <c r="EU52" i="7"/>
  <c r="EV52" i="7"/>
  <c r="EW52" i="7"/>
  <c r="EX52" i="7"/>
  <c r="EY52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ET53" i="7"/>
  <c r="EU53" i="7"/>
  <c r="EV53" i="7"/>
  <c r="EW53" i="7"/>
  <c r="EX53" i="7"/>
  <c r="EY53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X54" i="7"/>
  <c r="EY54" i="7"/>
  <c r="CL51" i="7"/>
  <c r="CL54" i="7"/>
  <c r="CL53" i="7"/>
  <c r="CL52" i="7"/>
  <c r="EH34" i="7"/>
  <c r="EL34" i="7"/>
  <c r="EM34" i="7"/>
  <c r="EN34" i="7"/>
  <c r="EO34" i="7"/>
  <c r="EQ35" i="7"/>
  <c r="ER35" i="7"/>
  <c r="ES35" i="7"/>
  <c r="ET35" i="7"/>
  <c r="EU54" i="7"/>
  <c r="EV34" i="7"/>
  <c r="EW54" i="7"/>
  <c r="EY33" i="7"/>
  <c r="EY35" i="7"/>
  <c r="EX35" i="7"/>
  <c r="EW35" i="7"/>
  <c r="EU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EY34" i="7"/>
  <c r="EX34" i="7"/>
  <c r="EW34" i="7"/>
  <c r="EU34" i="7"/>
  <c r="ET34" i="7"/>
  <c r="ER34" i="7"/>
  <c r="EQ34" i="7"/>
  <c r="DS34" i="7"/>
  <c r="DC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EP34" i="7"/>
  <c r="EJ34" i="7"/>
  <c r="EI35" i="7"/>
  <c r="EG34" i="7"/>
  <c r="EF34" i="7"/>
  <c r="EE34" i="7"/>
  <c r="ED34" i="7"/>
  <c r="EC34" i="7"/>
  <c r="EB34" i="7"/>
  <c r="EA35" i="7"/>
  <c r="DZ34" i="7"/>
  <c r="DY34" i="7"/>
  <c r="DX34" i="7"/>
  <c r="DW34" i="7"/>
  <c r="DV34" i="7"/>
  <c r="DU34" i="7"/>
  <c r="DT34" i="7"/>
  <c r="DS35" i="7"/>
  <c r="DR34" i="7"/>
  <c r="DQ34" i="7"/>
  <c r="DP34" i="7"/>
  <c r="DO34" i="7"/>
  <c r="DN34" i="7"/>
  <c r="DM34" i="7"/>
  <c r="DL34" i="7"/>
  <c r="DK35" i="7"/>
  <c r="DJ34" i="7"/>
  <c r="DI34" i="7"/>
  <c r="DH34" i="7"/>
  <c r="DG34" i="7"/>
  <c r="DF34" i="7"/>
  <c r="DE34" i="7"/>
  <c r="DD34" i="7"/>
  <c r="DC35" i="7"/>
  <c r="DB34" i="7"/>
  <c r="DA34" i="7"/>
  <c r="EK34" i="7" l="1"/>
  <c r="EV54" i="7"/>
  <c r="ES34" i="7"/>
  <c r="EV35" i="7"/>
  <c r="DK34" i="7"/>
  <c r="DD35" i="7"/>
  <c r="EA34" i="7"/>
  <c r="DL35" i="7"/>
  <c r="EI34" i="7"/>
  <c r="DT35" i="7"/>
  <c r="EB35" i="7"/>
  <c r="EJ35" i="7"/>
  <c r="DE35" i="7"/>
  <c r="DM35" i="7"/>
  <c r="DU35" i="7"/>
  <c r="EC35" i="7"/>
  <c r="EK35" i="7"/>
  <c r="DF35" i="7"/>
  <c r="DN35" i="7"/>
  <c r="DV35" i="7"/>
  <c r="ED35" i="7"/>
  <c r="EL35" i="7"/>
  <c r="DG35" i="7"/>
  <c r="DO35" i="7"/>
  <c r="DW35" i="7"/>
  <c r="EE35" i="7"/>
  <c r="EM35" i="7"/>
  <c r="DH35" i="7"/>
  <c r="DP35" i="7"/>
  <c r="DX35" i="7"/>
  <c r="EF35" i="7"/>
  <c r="EN35" i="7"/>
  <c r="DA35" i="7"/>
  <c r="DI35" i="7"/>
  <c r="DQ35" i="7"/>
  <c r="DY35" i="7"/>
  <c r="EG35" i="7"/>
  <c r="EO35" i="7"/>
  <c r="DB35" i="7"/>
  <c r="DJ35" i="7"/>
  <c r="DR35" i="7"/>
  <c r="DZ35" i="7"/>
  <c r="EH35" i="7"/>
  <c r="EP35" i="7"/>
  <c r="EP26" i="7" l="1"/>
  <c r="EO26" i="7" l="1"/>
  <c r="EN26" i="7" l="1"/>
  <c r="EN33" i="10" l="1"/>
  <c r="EM26" i="7" l="1"/>
  <c r="EL26" i="7" l="1"/>
  <c r="EK26" i="7" l="1"/>
  <c r="EH26" i="7" l="1"/>
  <c r="EI26" i="7"/>
  <c r="EJ26" i="7"/>
  <c r="EG26" i="7" l="1"/>
  <c r="EF26" i="7" l="1"/>
  <c r="EE26" i="7" l="1"/>
  <c r="ED26" i="7" l="1"/>
  <c r="EC26" i="7" l="1"/>
  <c r="DN12" i="2" l="1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B26" i="7" l="1"/>
  <c r="DM26" i="7"/>
  <c r="DM28" i="7" s="1"/>
  <c r="DN26" i="7"/>
  <c r="DN27" i="7" s="1"/>
  <c r="DO26" i="7"/>
  <c r="DO27" i="7" s="1"/>
  <c r="DP26" i="7"/>
  <c r="DP27" i="7" s="1"/>
  <c r="DQ26" i="7"/>
  <c r="DQ27" i="7" s="1"/>
  <c r="DR26" i="7"/>
  <c r="DR27" i="7" s="1"/>
  <c r="DS26" i="7"/>
  <c r="DS28" i="7" s="1"/>
  <c r="DT26" i="7"/>
  <c r="DT28" i="7" s="1"/>
  <c r="DU26" i="7"/>
  <c r="DU28" i="7" s="1"/>
  <c r="DV26" i="7"/>
  <c r="DV28" i="7" s="1"/>
  <c r="DW26" i="7"/>
  <c r="DW28" i="7" s="1"/>
  <c r="DX26" i="7"/>
  <c r="DX28" i="7" s="1"/>
  <c r="DY26" i="7"/>
  <c r="DY27" i="7" s="1"/>
  <c r="DZ26" i="7"/>
  <c r="DZ27" i="7" s="1"/>
  <c r="EA26" i="7"/>
  <c r="EA28" i="7" s="1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B27" i="7" l="1"/>
  <c r="DN28" i="7"/>
  <c r="DM27" i="7"/>
  <c r="DV27" i="7"/>
  <c r="DU27" i="7"/>
  <c r="DW27" i="7"/>
  <c r="DX27" i="7"/>
  <c r="DQ28" i="7"/>
  <c r="DP28" i="7"/>
  <c r="DO28" i="7"/>
  <c r="DY28" i="7"/>
  <c r="EB28" i="7"/>
  <c r="EA27" i="7"/>
  <c r="DT27" i="7"/>
  <c r="DS27" i="7"/>
  <c r="DZ28" i="7"/>
  <c r="DR28" i="7"/>
  <c r="DM12" i="2" l="1"/>
  <c r="DY30" i="10" l="1"/>
  <c r="DY31" i="10"/>
  <c r="DG33" i="10" l="1"/>
  <c r="DH33" i="10"/>
  <c r="DF31" i="10" l="1"/>
  <c r="AP13" i="10" l="1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DA13" i="10"/>
  <c r="DB13" i="10"/>
  <c r="DC13" i="10"/>
  <c r="DD13" i="10"/>
  <c r="DE13" i="10"/>
  <c r="DF13" i="10"/>
  <c r="DG13" i="10"/>
  <c r="DH13" i="10"/>
  <c r="DI13" i="10"/>
  <c r="DJ13" i="10"/>
  <c r="DK13" i="10"/>
  <c r="DL13" i="10"/>
  <c r="DM13" i="10"/>
  <c r="DN13" i="10"/>
  <c r="DO13" i="10"/>
  <c r="DP13" i="10"/>
  <c r="DQ13" i="10"/>
  <c r="DR13" i="10"/>
  <c r="DS13" i="10"/>
  <c r="DT13" i="10"/>
  <c r="DU13" i="10"/>
  <c r="DV13" i="10"/>
  <c r="DW13" i="10"/>
  <c r="DX13" i="10"/>
  <c r="DY13" i="10"/>
  <c r="DZ13" i="10"/>
  <c r="EA13" i="10"/>
  <c r="EB13" i="10"/>
  <c r="EC13" i="10"/>
  <c r="ED13" i="10"/>
  <c r="EE13" i="10"/>
  <c r="EF13" i="10"/>
  <c r="EG13" i="10"/>
  <c r="EH13" i="10"/>
  <c r="EI13" i="10"/>
  <c r="EJ13" i="10"/>
  <c r="EK13" i="10"/>
  <c r="EL13" i="10"/>
  <c r="EM13" i="10"/>
  <c r="EN13" i="10"/>
  <c r="EO13" i="10"/>
  <c r="EP13" i="10"/>
  <c r="EQ13" i="10"/>
  <c r="ER13" i="10"/>
  <c r="ES13" i="10"/>
  <c r="ET13" i="10"/>
  <c r="EU13" i="10"/>
  <c r="EV13" i="10"/>
  <c r="EW13" i="10"/>
  <c r="EX13" i="10"/>
  <c r="EY13" i="10"/>
  <c r="AO13" i="10"/>
  <c r="BT31" i="10"/>
  <c r="BU31" i="10"/>
  <c r="BV31" i="10"/>
  <c r="BW31" i="10"/>
  <c r="BW35" i="10" s="1"/>
  <c r="BX31" i="10"/>
  <c r="BY31" i="10"/>
  <c r="BZ31" i="10"/>
  <c r="CA31" i="10"/>
  <c r="CB31" i="10"/>
  <c r="CC31" i="10"/>
  <c r="CD31" i="10"/>
  <c r="CE31" i="10"/>
  <c r="CE35" i="10" s="1"/>
  <c r="CF31" i="10"/>
  <c r="CG31" i="10"/>
  <c r="CH31" i="10"/>
  <c r="CI31" i="10"/>
  <c r="CJ31" i="10"/>
  <c r="CK31" i="10"/>
  <c r="CL31" i="10"/>
  <c r="CM31" i="10"/>
  <c r="CM35" i="10" s="1"/>
  <c r="CN31" i="10"/>
  <c r="CO31" i="10"/>
  <c r="CO35" i="10" s="1"/>
  <c r="CP31" i="10"/>
  <c r="CQ31" i="10"/>
  <c r="CR31" i="10"/>
  <c r="CS31" i="10"/>
  <c r="CT31" i="10"/>
  <c r="CU31" i="10"/>
  <c r="CV31" i="10"/>
  <c r="CW31" i="10"/>
  <c r="CW35" i="10" s="1"/>
  <c r="CX31" i="10"/>
  <c r="CY31" i="10"/>
  <c r="CZ31" i="10"/>
  <c r="DA31" i="10"/>
  <c r="DB31" i="10"/>
  <c r="DC31" i="10"/>
  <c r="DD31" i="10"/>
  <c r="DE31" i="10"/>
  <c r="DE35" i="10" s="1"/>
  <c r="DG31" i="10"/>
  <c r="DH31" i="10"/>
  <c r="DI31" i="10"/>
  <c r="DJ31" i="10"/>
  <c r="DK31" i="10"/>
  <c r="DL31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K34" i="10" s="1"/>
  <c r="CL32" i="10"/>
  <c r="CM32" i="10"/>
  <c r="CN32" i="10"/>
  <c r="CO32" i="10"/>
  <c r="CP32" i="10"/>
  <c r="CQ32" i="10"/>
  <c r="CR32" i="10"/>
  <c r="CS32" i="10"/>
  <c r="CT32" i="10"/>
  <c r="CU32" i="10"/>
  <c r="CU35" i="10" s="1"/>
  <c r="CV32" i="10"/>
  <c r="CW32" i="10"/>
  <c r="CX32" i="10"/>
  <c r="CY32" i="10"/>
  <c r="CZ32" i="10"/>
  <c r="DA32" i="10"/>
  <c r="DB32" i="10"/>
  <c r="DC32" i="10"/>
  <c r="DD32" i="10"/>
  <c r="DE32" i="10"/>
  <c r="DF32" i="10"/>
  <c r="DG32" i="10"/>
  <c r="DH32" i="10"/>
  <c r="CN33" i="10"/>
  <c r="AO34" i="10"/>
  <c r="CG35" i="10"/>
  <c r="BY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O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EY32" i="10"/>
  <c r="EX32" i="10"/>
  <c r="EW32" i="10"/>
  <c r="EV32" i="10"/>
  <c r="EU32" i="10"/>
  <c r="EU34" i="10" s="1"/>
  <c r="ET32" i="10"/>
  <c r="ET34" i="10" s="1"/>
  <c r="ES32" i="10"/>
  <c r="ER32" i="10"/>
  <c r="EQ32" i="10"/>
  <c r="EP32" i="10"/>
  <c r="EO32" i="10"/>
  <c r="EN32" i="10"/>
  <c r="EM32" i="10"/>
  <c r="EM34" i="10" s="1"/>
  <c r="EL32" i="10"/>
  <c r="EL35" i="10" s="1"/>
  <c r="EK32" i="10"/>
  <c r="EK34" i="10" s="1"/>
  <c r="EJ32" i="10"/>
  <c r="EI32" i="10"/>
  <c r="EH32" i="10"/>
  <c r="EG32" i="10"/>
  <c r="EG34" i="10" s="1"/>
  <c r="EF32" i="10"/>
  <c r="EE32" i="10"/>
  <c r="ED32" i="10"/>
  <c r="EC32" i="10"/>
  <c r="EB32" i="10"/>
  <c r="EA32" i="10"/>
  <c r="EA35" i="10" s="1"/>
  <c r="DZ32" i="10"/>
  <c r="DY32" i="10"/>
  <c r="DY34" i="10" s="1"/>
  <c r="DO34" i="10"/>
  <c r="CB34" i="10"/>
  <c r="EY31" i="10"/>
  <c r="EX31" i="10"/>
  <c r="EW31" i="10"/>
  <c r="EV31" i="10"/>
  <c r="EU31" i="10"/>
  <c r="ET31" i="10"/>
  <c r="ES31" i="10"/>
  <c r="ES35" i="10" s="1"/>
  <c r="ER31" i="10"/>
  <c r="ER35" i="10" s="1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X31" i="10"/>
  <c r="DW31" i="10"/>
  <c r="DV31" i="10"/>
  <c r="DU31" i="10"/>
  <c r="DU35" i="10" s="1"/>
  <c r="DT31" i="10"/>
  <c r="DT35" i="10" s="1"/>
  <c r="DS31" i="10"/>
  <c r="DR31" i="10"/>
  <c r="DQ31" i="10"/>
  <c r="DP31" i="10"/>
  <c r="DO31" i="10"/>
  <c r="DN31" i="10"/>
  <c r="DM31" i="10"/>
  <c r="DM35" i="10" s="1"/>
  <c r="EY30" i="10"/>
  <c r="EY34" i="10" s="1"/>
  <c r="EX30" i="10"/>
  <c r="EW30" i="10"/>
  <c r="EV30" i="10"/>
  <c r="EU30" i="10"/>
  <c r="ET30" i="10"/>
  <c r="ES30" i="10"/>
  <c r="ES34" i="10" s="1"/>
  <c r="ER30" i="10"/>
  <c r="ER34" i="10" s="1"/>
  <c r="EQ30" i="10"/>
  <c r="EP30" i="10"/>
  <c r="EO30" i="10"/>
  <c r="EN30" i="10"/>
  <c r="EM30" i="10"/>
  <c r="EL30" i="10"/>
  <c r="EK30" i="10"/>
  <c r="EJ30" i="10"/>
  <c r="EJ34" i="10" s="1"/>
  <c r="EI30" i="10"/>
  <c r="EH30" i="10"/>
  <c r="EG30" i="10"/>
  <c r="EF30" i="10"/>
  <c r="EE30" i="10"/>
  <c r="ED30" i="10"/>
  <c r="EC30" i="10"/>
  <c r="EB30" i="10"/>
  <c r="EA30" i="10"/>
  <c r="DZ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E34" i="10" s="1"/>
  <c r="DD30" i="10"/>
  <c r="DD34" i="10" s="1"/>
  <c r="DC30" i="10"/>
  <c r="DC34" i="10" s="1"/>
  <c r="DB30" i="10"/>
  <c r="DA30" i="10"/>
  <c r="CZ30" i="10"/>
  <c r="CY30" i="10"/>
  <c r="CX30" i="10"/>
  <c r="CW30" i="10"/>
  <c r="CW34" i="10" s="1"/>
  <c r="CV30" i="10"/>
  <c r="CV34" i="10" s="1"/>
  <c r="CU30" i="10"/>
  <c r="CU34" i="10" s="1"/>
  <c r="CT30" i="10"/>
  <c r="CS30" i="10"/>
  <c r="CR30" i="10"/>
  <c r="CR34" i="10" s="1"/>
  <c r="CQ30" i="10"/>
  <c r="CP30" i="10"/>
  <c r="CO30" i="10"/>
  <c r="CN30" i="10"/>
  <c r="CN34" i="10" s="1"/>
  <c r="CM30" i="10"/>
  <c r="CM34" i="10" s="1"/>
  <c r="CL30" i="10"/>
  <c r="CK30" i="10"/>
  <c r="CJ30" i="10"/>
  <c r="CI30" i="10"/>
  <c r="CH30" i="10"/>
  <c r="CG30" i="10"/>
  <c r="CG34" i="10" s="1"/>
  <c r="CF30" i="10"/>
  <c r="CF34" i="10" s="1"/>
  <c r="CE30" i="10"/>
  <c r="CD30" i="10"/>
  <c r="CC30" i="10"/>
  <c r="CB30" i="10"/>
  <c r="CA30" i="10"/>
  <c r="BZ30" i="10"/>
  <c r="BY30" i="10"/>
  <c r="BY34" i="10" s="1"/>
  <c r="BX30" i="10"/>
  <c r="BX34" i="10" s="1"/>
  <c r="BW30" i="10"/>
  <c r="BV30" i="10"/>
  <c r="BU30" i="10"/>
  <c r="BT30" i="10"/>
  <c r="BT34" i="10" s="1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EY27" i="10"/>
  <c r="EX27" i="10"/>
  <c r="EW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EY26" i="10"/>
  <c r="EX26" i="10"/>
  <c r="EW26" i="10"/>
  <c r="EV26" i="10"/>
  <c r="EU26" i="10"/>
  <c r="ET26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EY19" i="10"/>
  <c r="EX19" i="10"/>
  <c r="EW19" i="10"/>
  <c r="EV19" i="10"/>
  <c r="EU19" i="10"/>
  <c r="ET19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EY14" i="10"/>
  <c r="EX14" i="10"/>
  <c r="EW14" i="10"/>
  <c r="EV14" i="10"/>
  <c r="EU14" i="10"/>
  <c r="ET14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EY12" i="10"/>
  <c r="EY33" i="10" s="1"/>
  <c r="EX12" i="10"/>
  <c r="EX33" i="10" s="1"/>
  <c r="EW12" i="10"/>
  <c r="EW33" i="10" s="1"/>
  <c r="EV12" i="10"/>
  <c r="EV33" i="10" s="1"/>
  <c r="EU12" i="10"/>
  <c r="EU33" i="10" s="1"/>
  <c r="ET33" i="10"/>
  <c r="ES33" i="10"/>
  <c r="ER33" i="10"/>
  <c r="EQ33" i="10"/>
  <c r="EP33" i="10"/>
  <c r="EO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EY7" i="10"/>
  <c r="EX7" i="10"/>
  <c r="EW7" i="10"/>
  <c r="EV7" i="10"/>
  <c r="EU7" i="10"/>
  <c r="ET7" i="10"/>
  <c r="ES7" i="10"/>
  <c r="ER7" i="10"/>
  <c r="EQ7" i="10"/>
  <c r="EP7" i="10"/>
  <c r="EO7" i="10"/>
  <c r="EN7" i="10"/>
  <c r="EM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AU2" i="10"/>
  <c r="AV2" i="10" s="1"/>
  <c r="AV6" i="10" s="1"/>
  <c r="F1" i="10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K1" i="10" s="1"/>
  <c r="AL1" i="10" s="1"/>
  <c r="AM1" i="10" s="1"/>
  <c r="AN1" i="10" s="1"/>
  <c r="AO1" i="10" s="1"/>
  <c r="AP1" i="10" s="1"/>
  <c r="AQ1" i="10" s="1"/>
  <c r="AR1" i="10" s="1"/>
  <c r="AS1" i="10" s="1"/>
  <c r="AT1" i="10" s="1"/>
  <c r="AU1" i="10" s="1"/>
  <c r="AV1" i="10" s="1"/>
  <c r="AW1" i="10" s="1"/>
  <c r="AX1" i="10" s="1"/>
  <c r="AY1" i="10" s="1"/>
  <c r="AZ1" i="10" s="1"/>
  <c r="BA1" i="10" s="1"/>
  <c r="BB1" i="10" s="1"/>
  <c r="BC1" i="10" s="1"/>
  <c r="BD1" i="10" s="1"/>
  <c r="BE1" i="10" s="1"/>
  <c r="BF1" i="10" s="1"/>
  <c r="BG1" i="10" s="1"/>
  <c r="BH1" i="10" s="1"/>
  <c r="BI1" i="10" s="1"/>
  <c r="BJ1" i="10" s="1"/>
  <c r="BK1" i="10" s="1"/>
  <c r="BL1" i="10" s="1"/>
  <c r="BM1" i="10" s="1"/>
  <c r="BN1" i="10" s="1"/>
  <c r="BO1" i="10" s="1"/>
  <c r="BP1" i="10" s="1"/>
  <c r="BQ1" i="10" s="1"/>
  <c r="BR1" i="10" s="1"/>
  <c r="BS1" i="10" s="1"/>
  <c r="BT1" i="10" s="1"/>
  <c r="BU1" i="10" s="1"/>
  <c r="BV1" i="10" s="1"/>
  <c r="BW1" i="10" s="1"/>
  <c r="BX1" i="10" s="1"/>
  <c r="BY1" i="10" s="1"/>
  <c r="BZ1" i="10" s="1"/>
  <c r="CA1" i="10" s="1"/>
  <c r="CB1" i="10" s="1"/>
  <c r="CC1" i="10" s="1"/>
  <c r="CD1" i="10" s="1"/>
  <c r="CE1" i="10" s="1"/>
  <c r="CF1" i="10" s="1"/>
  <c r="CG1" i="10" s="1"/>
  <c r="CH1" i="10" s="1"/>
  <c r="CI1" i="10" s="1"/>
  <c r="CJ1" i="10" s="1"/>
  <c r="CK1" i="10" s="1"/>
  <c r="CL1" i="10" s="1"/>
  <c r="CM1" i="10" s="1"/>
  <c r="CN1" i="10" s="1"/>
  <c r="CO1" i="10" s="1"/>
  <c r="CP1" i="10" s="1"/>
  <c r="CQ1" i="10" s="1"/>
  <c r="CR1" i="10" s="1"/>
  <c r="CS1" i="10" s="1"/>
  <c r="CT1" i="10" s="1"/>
  <c r="CU1" i="10" s="1"/>
  <c r="CV1" i="10" s="1"/>
  <c r="CW1" i="10" s="1"/>
  <c r="CX1" i="10" s="1"/>
  <c r="CY1" i="10" s="1"/>
  <c r="CZ1" i="10" s="1"/>
  <c r="DA1" i="10" s="1"/>
  <c r="DB1" i="10" s="1"/>
  <c r="DC1" i="10" s="1"/>
  <c r="DD1" i="10" s="1"/>
  <c r="DE1" i="10" s="1"/>
  <c r="DF1" i="10" s="1"/>
  <c r="DG1" i="10" s="1"/>
  <c r="DH1" i="10" s="1"/>
  <c r="DI1" i="10" s="1"/>
  <c r="DJ1" i="10" s="1"/>
  <c r="DK1" i="10" s="1"/>
  <c r="DL1" i="10" s="1"/>
  <c r="DM1" i="10" s="1"/>
  <c r="DN1" i="10" s="1"/>
  <c r="DO1" i="10" s="1"/>
  <c r="DP1" i="10" s="1"/>
  <c r="DQ1" i="10" s="1"/>
  <c r="DR1" i="10" s="1"/>
  <c r="DS1" i="10" s="1"/>
  <c r="DT1" i="10" s="1"/>
  <c r="DU1" i="10" s="1"/>
  <c r="DV1" i="10" s="1"/>
  <c r="DW1" i="10" s="1"/>
  <c r="DX1" i="10" s="1"/>
  <c r="DY1" i="10" s="1"/>
  <c r="DZ1" i="10" s="1"/>
  <c r="EA1" i="10" s="1"/>
  <c r="EB1" i="10" s="1"/>
  <c r="EC1" i="10" s="1"/>
  <c r="ED1" i="10" s="1"/>
  <c r="EE1" i="10" s="1"/>
  <c r="EF1" i="10" s="1"/>
  <c r="EG1" i="10" s="1"/>
  <c r="EH1" i="10" s="1"/>
  <c r="EI1" i="10" s="1"/>
  <c r="EJ1" i="10" s="1"/>
  <c r="EK1" i="10" s="1"/>
  <c r="EL1" i="10" s="1"/>
  <c r="EM1" i="10" s="1"/>
  <c r="EN1" i="10" s="1"/>
  <c r="EO1" i="10" s="1"/>
  <c r="EP1" i="10" s="1"/>
  <c r="EQ1" i="10" s="1"/>
  <c r="ER1" i="10" s="1"/>
  <c r="ES1" i="10" s="1"/>
  <c r="ET1" i="10" s="1"/>
  <c r="EU1" i="10" s="1"/>
  <c r="EV1" i="10" s="1"/>
  <c r="EW1" i="10" s="1"/>
  <c r="EX1" i="10" s="1"/>
  <c r="EY1" i="10" s="1"/>
  <c r="BU33" i="9"/>
  <c r="BX33" i="9"/>
  <c r="BZ33" i="9"/>
  <c r="CC33" i="9"/>
  <c r="CF33" i="9"/>
  <c r="BS35" i="9"/>
  <c r="BR35" i="9"/>
  <c r="BQ35" i="9"/>
  <c r="BP35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CE33" i="9"/>
  <c r="CD33" i="9"/>
  <c r="CB33" i="9"/>
  <c r="CA33" i="9"/>
  <c r="BY33" i="9"/>
  <c r="BW33" i="9"/>
  <c r="BV33" i="9"/>
  <c r="BT33" i="9"/>
  <c r="EY32" i="9"/>
  <c r="EX32" i="9"/>
  <c r="EW32" i="9"/>
  <c r="EV32" i="9"/>
  <c r="EU32" i="9"/>
  <c r="ET32" i="9"/>
  <c r="ES32" i="9"/>
  <c r="ER32" i="9"/>
  <c r="EQ32" i="9"/>
  <c r="EP32" i="9"/>
  <c r="EO32" i="9"/>
  <c r="EN32" i="9"/>
  <c r="EM32" i="9"/>
  <c r="EL32" i="9"/>
  <c r="EK32" i="9"/>
  <c r="EJ32" i="9"/>
  <c r="EI32" i="9"/>
  <c r="EH32" i="9"/>
  <c r="EG32" i="9"/>
  <c r="EF32" i="9"/>
  <c r="EE32" i="9"/>
  <c r="ED32" i="9"/>
  <c r="EC32" i="9"/>
  <c r="EB32" i="9"/>
  <c r="EA32" i="9"/>
  <c r="DZ32" i="9"/>
  <c r="DY32" i="9"/>
  <c r="DX32" i="9"/>
  <c r="DW32" i="9"/>
  <c r="DV32" i="9"/>
  <c r="DU32" i="9"/>
  <c r="DT32" i="9"/>
  <c r="DS32" i="9"/>
  <c r="DR32" i="9"/>
  <c r="DQ32" i="9"/>
  <c r="DP32" i="9"/>
  <c r="DO32" i="9"/>
  <c r="DN32" i="9"/>
  <c r="DM32" i="9"/>
  <c r="DL32" i="9"/>
  <c r="DK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C32" i="9"/>
  <c r="CB32" i="9"/>
  <c r="CA32" i="9"/>
  <c r="BZ32" i="9"/>
  <c r="BY32" i="9"/>
  <c r="BX32" i="9"/>
  <c r="BW32" i="9"/>
  <c r="BV32" i="9"/>
  <c r="BU32" i="9"/>
  <c r="BT32" i="9"/>
  <c r="EY31" i="9"/>
  <c r="EX31" i="9"/>
  <c r="EW31" i="9"/>
  <c r="EV31" i="9"/>
  <c r="EU31" i="9"/>
  <c r="ET31" i="9"/>
  <c r="ES31" i="9"/>
  <c r="ER31" i="9"/>
  <c r="ER35" i="9" s="1"/>
  <c r="EQ31" i="9"/>
  <c r="EP31" i="9"/>
  <c r="EO31" i="9"/>
  <c r="EN31" i="9"/>
  <c r="EM31" i="9"/>
  <c r="EL31" i="9"/>
  <c r="EK31" i="9"/>
  <c r="EJ31" i="9"/>
  <c r="EI31" i="9"/>
  <c r="EH31" i="9"/>
  <c r="EG31" i="9"/>
  <c r="EF31" i="9"/>
  <c r="EE31" i="9"/>
  <c r="ED31" i="9"/>
  <c r="EC31" i="9"/>
  <c r="EB31" i="9"/>
  <c r="EA31" i="9"/>
  <c r="DZ31" i="9"/>
  <c r="DY31" i="9"/>
  <c r="DX31" i="9"/>
  <c r="DW31" i="9"/>
  <c r="DV31" i="9"/>
  <c r="DU31" i="9"/>
  <c r="DT31" i="9"/>
  <c r="DS31" i="9"/>
  <c r="DR31" i="9"/>
  <c r="DQ31" i="9"/>
  <c r="DP31" i="9"/>
  <c r="DO31" i="9"/>
  <c r="DN31" i="9"/>
  <c r="DM31" i="9"/>
  <c r="DL31" i="9"/>
  <c r="DK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EY30" i="9"/>
  <c r="EX30" i="9"/>
  <c r="EW30" i="9"/>
  <c r="EV30" i="9"/>
  <c r="EU30" i="9"/>
  <c r="ET30" i="9"/>
  <c r="ES30" i="9"/>
  <c r="ER30" i="9"/>
  <c r="EQ30" i="9"/>
  <c r="EP30" i="9"/>
  <c r="EO30" i="9"/>
  <c r="EN30" i="9"/>
  <c r="EM30" i="9"/>
  <c r="EL30" i="9"/>
  <c r="EK30" i="9"/>
  <c r="EJ30" i="9"/>
  <c r="EI30" i="9"/>
  <c r="EH30" i="9"/>
  <c r="EG30" i="9"/>
  <c r="EF30" i="9"/>
  <c r="EE30" i="9"/>
  <c r="ED30" i="9"/>
  <c r="EC30" i="9"/>
  <c r="EB30" i="9"/>
  <c r="EA30" i="9"/>
  <c r="DZ30" i="9"/>
  <c r="DY30" i="9"/>
  <c r="DX30" i="9"/>
  <c r="DW30" i="9"/>
  <c r="DV30" i="9"/>
  <c r="DU30" i="9"/>
  <c r="DT30" i="9"/>
  <c r="DS30" i="9"/>
  <c r="DR30" i="9"/>
  <c r="DQ30" i="9"/>
  <c r="DP30" i="9"/>
  <c r="DO30" i="9"/>
  <c r="DN30" i="9"/>
  <c r="DM30" i="9"/>
  <c r="DL30" i="9"/>
  <c r="DK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EY28" i="9"/>
  <c r="EX28" i="9"/>
  <c r="EW28" i="9"/>
  <c r="EV28" i="9"/>
  <c r="EU28" i="9"/>
  <c r="ET28" i="9"/>
  <c r="ES28" i="9"/>
  <c r="ER28" i="9"/>
  <c r="EQ28" i="9"/>
  <c r="EP28" i="9"/>
  <c r="EO28" i="9"/>
  <c r="EN28" i="9"/>
  <c r="EM28" i="9"/>
  <c r="EL28" i="9"/>
  <c r="EK28" i="9"/>
  <c r="EJ28" i="9"/>
  <c r="EI28" i="9"/>
  <c r="EH28" i="9"/>
  <c r="EG28" i="9"/>
  <c r="EF28" i="9"/>
  <c r="EE28" i="9"/>
  <c r="ED28" i="9"/>
  <c r="EC28" i="9"/>
  <c r="EB28" i="9"/>
  <c r="EA28" i="9"/>
  <c r="DZ28" i="9"/>
  <c r="DY28" i="9"/>
  <c r="DX28" i="9"/>
  <c r="DW28" i="9"/>
  <c r="DV28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EY27" i="9"/>
  <c r="EX27" i="9"/>
  <c r="EW27" i="9"/>
  <c r="EV27" i="9"/>
  <c r="EU27" i="9"/>
  <c r="ET27" i="9"/>
  <c r="ES27" i="9"/>
  <c r="ER27" i="9"/>
  <c r="EQ27" i="9"/>
  <c r="EP27" i="9"/>
  <c r="EO27" i="9"/>
  <c r="EN27" i="9"/>
  <c r="EM27" i="9"/>
  <c r="EL27" i="9"/>
  <c r="EK27" i="9"/>
  <c r="EJ27" i="9"/>
  <c r="EI27" i="9"/>
  <c r="EH27" i="9"/>
  <c r="EG27" i="9"/>
  <c r="EF27" i="9"/>
  <c r="EE27" i="9"/>
  <c r="ED27" i="9"/>
  <c r="EC27" i="9"/>
  <c r="EB27" i="9"/>
  <c r="EA27" i="9"/>
  <c r="DZ27" i="9"/>
  <c r="DY27" i="9"/>
  <c r="DX27" i="9"/>
  <c r="DW27" i="9"/>
  <c r="DV27" i="9"/>
  <c r="DU27" i="9"/>
  <c r="DT27" i="9"/>
  <c r="DS27" i="9"/>
  <c r="DR27" i="9"/>
  <c r="DQ27" i="9"/>
  <c r="DP27" i="9"/>
  <c r="DO27" i="9"/>
  <c r="DN27" i="9"/>
  <c r="DM27" i="9"/>
  <c r="DL27" i="9"/>
  <c r="DK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EY26" i="9"/>
  <c r="EX26" i="9"/>
  <c r="EW26" i="9"/>
  <c r="EV26" i="9"/>
  <c r="EU26" i="9"/>
  <c r="ET26" i="9"/>
  <c r="ES26" i="9"/>
  <c r="ER26" i="9"/>
  <c r="EQ26" i="9"/>
  <c r="EP26" i="9"/>
  <c r="EO26" i="9"/>
  <c r="EN26" i="9"/>
  <c r="EM26" i="9"/>
  <c r="EL26" i="9"/>
  <c r="EK26" i="9"/>
  <c r="EJ26" i="9"/>
  <c r="EI26" i="9"/>
  <c r="EH26" i="9"/>
  <c r="EG26" i="9"/>
  <c r="EF26" i="9"/>
  <c r="EE26" i="9"/>
  <c r="ED26" i="9"/>
  <c r="EC26" i="9"/>
  <c r="EB26" i="9"/>
  <c r="EA26" i="9"/>
  <c r="DZ26" i="9"/>
  <c r="DY26" i="9"/>
  <c r="DX26" i="9"/>
  <c r="DW26" i="9"/>
  <c r="DV26" i="9"/>
  <c r="DU26" i="9"/>
  <c r="DT26" i="9"/>
  <c r="DS26" i="9"/>
  <c r="DR26" i="9"/>
  <c r="DQ26" i="9"/>
  <c r="DP26" i="9"/>
  <c r="DO26" i="9"/>
  <c r="DN26" i="9"/>
  <c r="DM26" i="9"/>
  <c r="DL26" i="9"/>
  <c r="DK26" i="9"/>
  <c r="DJ26" i="9"/>
  <c r="DI26" i="9"/>
  <c r="DH26" i="9"/>
  <c r="DG26" i="9"/>
  <c r="DF26" i="9"/>
  <c r="DE26" i="9"/>
  <c r="EY21" i="9"/>
  <c r="EX21" i="9"/>
  <c r="EW21" i="9"/>
  <c r="EV21" i="9"/>
  <c r="EU21" i="9"/>
  <c r="ET21" i="9"/>
  <c r="ES21" i="9"/>
  <c r="ER21" i="9"/>
  <c r="EQ21" i="9"/>
  <c r="EP21" i="9"/>
  <c r="EO21" i="9"/>
  <c r="EN21" i="9"/>
  <c r="EM21" i="9"/>
  <c r="EL21" i="9"/>
  <c r="EK21" i="9"/>
  <c r="EJ21" i="9"/>
  <c r="EI21" i="9"/>
  <c r="EH21" i="9"/>
  <c r="EG21" i="9"/>
  <c r="EF21" i="9"/>
  <c r="EE21" i="9"/>
  <c r="ED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EY20" i="9"/>
  <c r="EX20" i="9"/>
  <c r="EW20" i="9"/>
  <c r="EV20" i="9"/>
  <c r="EU20" i="9"/>
  <c r="ET20" i="9"/>
  <c r="ES20" i="9"/>
  <c r="ER20" i="9"/>
  <c r="EQ20" i="9"/>
  <c r="EP20" i="9"/>
  <c r="EO20" i="9"/>
  <c r="EN20" i="9"/>
  <c r="EM20" i="9"/>
  <c r="EL20" i="9"/>
  <c r="EK20" i="9"/>
  <c r="EJ20" i="9"/>
  <c r="EI20" i="9"/>
  <c r="EH20" i="9"/>
  <c r="EG20" i="9"/>
  <c r="EF20" i="9"/>
  <c r="EE20" i="9"/>
  <c r="ED20" i="9"/>
  <c r="EC20" i="9"/>
  <c r="EB20" i="9"/>
  <c r="EA20" i="9"/>
  <c r="DZ20" i="9"/>
  <c r="DY20" i="9"/>
  <c r="DX20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EY19" i="9"/>
  <c r="EX19" i="9"/>
  <c r="EW19" i="9"/>
  <c r="EV19" i="9"/>
  <c r="EU19" i="9"/>
  <c r="ET19" i="9"/>
  <c r="ES19" i="9"/>
  <c r="ER19" i="9"/>
  <c r="EQ19" i="9"/>
  <c r="EP19" i="9"/>
  <c r="EO19" i="9"/>
  <c r="EN19" i="9"/>
  <c r="EM19" i="9"/>
  <c r="EL19" i="9"/>
  <c r="EK19" i="9"/>
  <c r="EJ19" i="9"/>
  <c r="EI19" i="9"/>
  <c r="EH19" i="9"/>
  <c r="EG19" i="9"/>
  <c r="EF19" i="9"/>
  <c r="EE19" i="9"/>
  <c r="ED19" i="9"/>
  <c r="EC19" i="9"/>
  <c r="EB19" i="9"/>
  <c r="EA19" i="9"/>
  <c r="DZ19" i="9"/>
  <c r="DY19" i="9"/>
  <c r="DX19" i="9"/>
  <c r="DW19" i="9"/>
  <c r="DV19" i="9"/>
  <c r="DU19" i="9"/>
  <c r="DT19" i="9"/>
  <c r="DS19" i="9"/>
  <c r="DR19" i="9"/>
  <c r="DQ19" i="9"/>
  <c r="DP19" i="9"/>
  <c r="DO19" i="9"/>
  <c r="DN19" i="9"/>
  <c r="DM19" i="9"/>
  <c r="DL19" i="9"/>
  <c r="DK19" i="9"/>
  <c r="DJ19" i="9"/>
  <c r="DI19" i="9"/>
  <c r="DH19" i="9"/>
  <c r="DG19" i="9"/>
  <c r="DG33" i="9" s="1"/>
  <c r="DF19" i="9"/>
  <c r="DE19" i="9"/>
  <c r="DD19" i="9"/>
  <c r="DC19" i="9"/>
  <c r="DB19" i="9"/>
  <c r="DA19" i="9"/>
  <c r="DA33" i="9" s="1"/>
  <c r="CZ19" i="9"/>
  <c r="CZ33" i="9" s="1"/>
  <c r="CY19" i="9"/>
  <c r="CY33" i="9" s="1"/>
  <c r="CX19" i="9"/>
  <c r="CW19" i="9"/>
  <c r="CV19" i="9"/>
  <c r="CU19" i="9"/>
  <c r="CT19" i="9"/>
  <c r="CS19" i="9"/>
  <c r="CS33" i="9" s="1"/>
  <c r="CR19" i="9"/>
  <c r="CR33" i="9" s="1"/>
  <c r="CQ19" i="9"/>
  <c r="CQ33" i="9" s="1"/>
  <c r="CP19" i="9"/>
  <c r="CO19" i="9"/>
  <c r="CO33" i="9" s="1"/>
  <c r="CN19" i="9"/>
  <c r="CN33" i="9" s="1"/>
  <c r="CM19" i="9"/>
  <c r="CL19" i="9"/>
  <c r="CL33" i="9" s="1"/>
  <c r="CK19" i="9"/>
  <c r="CK33" i="9" s="1"/>
  <c r="CJ19" i="9"/>
  <c r="CJ33" i="9" s="1"/>
  <c r="CI19" i="9"/>
  <c r="CI33" i="9" s="1"/>
  <c r="CH19" i="9"/>
  <c r="CG19" i="9"/>
  <c r="CG33" i="9" s="1"/>
  <c r="EY14" i="9"/>
  <c r="EX14" i="9"/>
  <c r="EW14" i="9"/>
  <c r="EV14" i="9"/>
  <c r="EU14" i="9"/>
  <c r="ET14" i="9"/>
  <c r="ES14" i="9"/>
  <c r="ER14" i="9"/>
  <c r="EQ14" i="9"/>
  <c r="EP14" i="9"/>
  <c r="EO14" i="9"/>
  <c r="EN14" i="9"/>
  <c r="EM14" i="9"/>
  <c r="EL14" i="9"/>
  <c r="EK14" i="9"/>
  <c r="EJ14" i="9"/>
  <c r="EI14" i="9"/>
  <c r="EH14" i="9"/>
  <c r="EG14" i="9"/>
  <c r="EF14" i="9"/>
  <c r="EE14" i="9"/>
  <c r="ED14" i="9"/>
  <c r="EC14" i="9"/>
  <c r="EB14" i="9"/>
  <c r="EA14" i="9"/>
  <c r="DZ14" i="9"/>
  <c r="DY14" i="9"/>
  <c r="DX14" i="9"/>
  <c r="DW14" i="9"/>
  <c r="DV14" i="9"/>
  <c r="DU14" i="9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EY13" i="9"/>
  <c r="EX13" i="9"/>
  <c r="EW13" i="9"/>
  <c r="EV13" i="9"/>
  <c r="EU13" i="9"/>
  <c r="ET13" i="9"/>
  <c r="ES13" i="9"/>
  <c r="ER13" i="9"/>
  <c r="EQ13" i="9"/>
  <c r="EP13" i="9"/>
  <c r="EO13" i="9"/>
  <c r="EN13" i="9"/>
  <c r="EM13" i="9"/>
  <c r="EL13" i="9"/>
  <c r="EK13" i="9"/>
  <c r="EJ13" i="9"/>
  <c r="EI13" i="9"/>
  <c r="EH13" i="9"/>
  <c r="EG13" i="9"/>
  <c r="EF13" i="9"/>
  <c r="EE13" i="9"/>
  <c r="ED13" i="9"/>
  <c r="EC13" i="9"/>
  <c r="EB13" i="9"/>
  <c r="EA13" i="9"/>
  <c r="DZ13" i="9"/>
  <c r="DY13" i="9"/>
  <c r="DX13" i="9"/>
  <c r="DW13" i="9"/>
  <c r="DV13" i="9"/>
  <c r="DU13" i="9"/>
  <c r="DT13" i="9"/>
  <c r="DS13" i="9"/>
  <c r="DR13" i="9"/>
  <c r="DQ13" i="9"/>
  <c r="DP13" i="9"/>
  <c r="DO13" i="9"/>
  <c r="DN13" i="9"/>
  <c r="DM13" i="9"/>
  <c r="DL13" i="9"/>
  <c r="DK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EY12" i="9"/>
  <c r="EY33" i="9" s="1"/>
  <c r="EX12" i="9"/>
  <c r="EX33" i="9" s="1"/>
  <c r="EW12" i="9"/>
  <c r="EW33" i="9" s="1"/>
  <c r="EV12" i="9"/>
  <c r="EU12" i="9"/>
  <c r="ES33" i="9"/>
  <c r="EQ33" i="9"/>
  <c r="EP33" i="9"/>
  <c r="EO33" i="9"/>
  <c r="EK33" i="9"/>
  <c r="EI33" i="9"/>
  <c r="EH33" i="9"/>
  <c r="EG33" i="9"/>
  <c r="EC33" i="9"/>
  <c r="EA33" i="9"/>
  <c r="DZ33" i="9"/>
  <c r="DY33" i="9"/>
  <c r="DH33" i="9"/>
  <c r="DB33" i="9"/>
  <c r="CT33" i="9"/>
  <c r="CE32" i="9"/>
  <c r="CD14" i="9"/>
  <c r="EY7" i="9"/>
  <c r="EX7" i="9"/>
  <c r="EW7" i="9"/>
  <c r="EV7" i="9"/>
  <c r="EU7" i="9"/>
  <c r="ET7" i="9"/>
  <c r="ES7" i="9"/>
  <c r="ER7" i="9"/>
  <c r="EQ7" i="9"/>
  <c r="EP7" i="9"/>
  <c r="EO7" i="9"/>
  <c r="EN7" i="9"/>
  <c r="EM7" i="9"/>
  <c r="EL7" i="9"/>
  <c r="EK7" i="9"/>
  <c r="EJ7" i="9"/>
  <c r="EI7" i="9"/>
  <c r="EH7" i="9"/>
  <c r="EG7" i="9"/>
  <c r="EF7" i="9"/>
  <c r="EE7" i="9"/>
  <c r="ED7" i="9"/>
  <c r="EC7" i="9"/>
  <c r="EB7" i="9"/>
  <c r="EA7" i="9"/>
  <c r="DZ7" i="9"/>
  <c r="DY7" i="9"/>
  <c r="DX7" i="9"/>
  <c r="DW7" i="9"/>
  <c r="DV7" i="9"/>
  <c r="DU7" i="9"/>
  <c r="DT7" i="9"/>
  <c r="DS7" i="9"/>
  <c r="DR7" i="9"/>
  <c r="DQ7" i="9"/>
  <c r="DP7" i="9"/>
  <c r="DO7" i="9"/>
  <c r="DN7" i="9"/>
  <c r="DM7" i="9"/>
  <c r="DL7" i="9"/>
  <c r="DK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EY6" i="9"/>
  <c r="EX6" i="9"/>
  <c r="EW6" i="9"/>
  <c r="EV6" i="9"/>
  <c r="EU6" i="9"/>
  <c r="ET6" i="9"/>
  <c r="ES6" i="9"/>
  <c r="ER6" i="9"/>
  <c r="EQ6" i="9"/>
  <c r="EP6" i="9"/>
  <c r="EO6" i="9"/>
  <c r="EN6" i="9"/>
  <c r="EM6" i="9"/>
  <c r="EL6" i="9"/>
  <c r="EK6" i="9"/>
  <c r="EJ6" i="9"/>
  <c r="EI6" i="9"/>
  <c r="EH6" i="9"/>
  <c r="EG6" i="9"/>
  <c r="EF6" i="9"/>
  <c r="EE6" i="9"/>
  <c r="ED6" i="9"/>
  <c r="EC6" i="9"/>
  <c r="EB6" i="9"/>
  <c r="EA6" i="9"/>
  <c r="DZ6" i="9"/>
  <c r="DY6" i="9"/>
  <c r="DX6" i="9"/>
  <c r="DW6" i="9"/>
  <c r="DV6" i="9"/>
  <c r="DU6" i="9"/>
  <c r="DT6" i="9"/>
  <c r="DS6" i="9"/>
  <c r="DR6" i="9"/>
  <c r="DQ6" i="9"/>
  <c r="DP6" i="9"/>
  <c r="DO6" i="9"/>
  <c r="DN6" i="9"/>
  <c r="DM6" i="9"/>
  <c r="DL6" i="9"/>
  <c r="DK6" i="9"/>
  <c r="DJ6" i="9"/>
  <c r="DI6" i="9"/>
  <c r="DH6" i="9"/>
  <c r="DG6" i="9"/>
  <c r="DF6" i="9"/>
  <c r="DE6" i="9"/>
  <c r="DD6" i="9"/>
  <c r="DC6" i="9"/>
  <c r="DB6" i="9"/>
  <c r="DA6" i="9"/>
  <c r="CZ6" i="9"/>
  <c r="CY6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AU2" i="9"/>
  <c r="AV2" i="9" s="1"/>
  <c r="AV6" i="9" s="1"/>
  <c r="F1" i="9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CQ1" i="9" s="1"/>
  <c r="CR1" i="9" s="1"/>
  <c r="CS1" i="9" s="1"/>
  <c r="CT1" i="9" s="1"/>
  <c r="CU1" i="9" s="1"/>
  <c r="CV1" i="9" s="1"/>
  <c r="CW1" i="9" s="1"/>
  <c r="CX1" i="9" s="1"/>
  <c r="CY1" i="9" s="1"/>
  <c r="CZ1" i="9" s="1"/>
  <c r="DA1" i="9" s="1"/>
  <c r="DB1" i="9" s="1"/>
  <c r="DC1" i="9" s="1"/>
  <c r="DD1" i="9" s="1"/>
  <c r="DE1" i="9" s="1"/>
  <c r="DF1" i="9" s="1"/>
  <c r="DG1" i="9" s="1"/>
  <c r="DH1" i="9" s="1"/>
  <c r="DI1" i="9" s="1"/>
  <c r="DJ1" i="9" s="1"/>
  <c r="DK1" i="9" s="1"/>
  <c r="DL1" i="9" s="1"/>
  <c r="DM1" i="9" s="1"/>
  <c r="DN1" i="9" s="1"/>
  <c r="DO1" i="9" s="1"/>
  <c r="DP1" i="9" s="1"/>
  <c r="DQ1" i="9" s="1"/>
  <c r="DR1" i="9" s="1"/>
  <c r="DS1" i="9" s="1"/>
  <c r="DT1" i="9" s="1"/>
  <c r="DU1" i="9" s="1"/>
  <c r="DV1" i="9" s="1"/>
  <c r="DW1" i="9" s="1"/>
  <c r="DX1" i="9" s="1"/>
  <c r="DY1" i="9" s="1"/>
  <c r="DZ1" i="9" s="1"/>
  <c r="EA1" i="9" s="1"/>
  <c r="EB1" i="9" s="1"/>
  <c r="EC1" i="9" s="1"/>
  <c r="ED1" i="9" s="1"/>
  <c r="EE1" i="9" s="1"/>
  <c r="EF1" i="9" s="1"/>
  <c r="EG1" i="9" s="1"/>
  <c r="EH1" i="9" s="1"/>
  <c r="EI1" i="9" s="1"/>
  <c r="EJ1" i="9" s="1"/>
  <c r="EK1" i="9" s="1"/>
  <c r="EL1" i="9" s="1"/>
  <c r="EM1" i="9" s="1"/>
  <c r="EN1" i="9" s="1"/>
  <c r="EO1" i="9" s="1"/>
  <c r="EP1" i="9" s="1"/>
  <c r="EQ1" i="9" s="1"/>
  <c r="ER1" i="9" s="1"/>
  <c r="ES1" i="9" s="1"/>
  <c r="ET1" i="9" s="1"/>
  <c r="EU1" i="9" s="1"/>
  <c r="EV1" i="9" s="1"/>
  <c r="EW1" i="9" s="1"/>
  <c r="EX1" i="9" s="1"/>
  <c r="EY1" i="9" s="1"/>
  <c r="EQ34" i="10" l="1"/>
  <c r="CT34" i="9"/>
  <c r="DB34" i="9"/>
  <c r="ED34" i="9"/>
  <c r="ET34" i="9"/>
  <c r="CI34" i="9"/>
  <c r="CQ34" i="9"/>
  <c r="EU34" i="9"/>
  <c r="AU6" i="9"/>
  <c r="EP35" i="9"/>
  <c r="EX35" i="9"/>
  <c r="EM34" i="9"/>
  <c r="EL34" i="9"/>
  <c r="EK35" i="10"/>
  <c r="EN34" i="10"/>
  <c r="EV34" i="10"/>
  <c r="EO34" i="10"/>
  <c r="EW34" i="10"/>
  <c r="EP34" i="10"/>
  <c r="EX34" i="10"/>
  <c r="EQ35" i="10"/>
  <c r="EY35" i="10"/>
  <c r="EJ35" i="10"/>
  <c r="EI35" i="10"/>
  <c r="EI34" i="10"/>
  <c r="EH34" i="10"/>
  <c r="EH35" i="9"/>
  <c r="EF34" i="10"/>
  <c r="EE34" i="10"/>
  <c r="EE34" i="9"/>
  <c r="ED35" i="10"/>
  <c r="EB34" i="10"/>
  <c r="EQ35" i="9"/>
  <c r="EC34" i="10"/>
  <c r="EC35" i="10"/>
  <c r="EA34" i="10"/>
  <c r="EB35" i="10"/>
  <c r="DT34" i="9"/>
  <c r="DZ34" i="10"/>
  <c r="DZ35" i="9"/>
  <c r="DX34" i="10"/>
  <c r="DW34" i="10"/>
  <c r="DW34" i="9"/>
  <c r="DV35" i="10"/>
  <c r="DV34" i="9"/>
  <c r="DU34" i="9"/>
  <c r="DP34" i="10"/>
  <c r="DQ34" i="10"/>
  <c r="DR34" i="10"/>
  <c r="DS34" i="10"/>
  <c r="DT34" i="10"/>
  <c r="DM34" i="10"/>
  <c r="DU34" i="10"/>
  <c r="DJ34" i="9"/>
  <c r="DK34" i="10"/>
  <c r="DK35" i="10"/>
  <c r="DN35" i="10"/>
  <c r="DS35" i="10"/>
  <c r="CQ34" i="10"/>
  <c r="BZ35" i="10"/>
  <c r="CN35" i="10"/>
  <c r="CH34" i="10"/>
  <c r="CL34" i="10"/>
  <c r="CS34" i="10"/>
  <c r="DH34" i="10"/>
  <c r="CZ34" i="10"/>
  <c r="CJ34" i="10"/>
  <c r="DG34" i="10"/>
  <c r="CY34" i="10"/>
  <c r="DL35" i="10"/>
  <c r="DD35" i="10"/>
  <c r="CF35" i="10"/>
  <c r="BX35" i="10"/>
  <c r="CC34" i="10"/>
  <c r="DF35" i="10"/>
  <c r="DI34" i="10"/>
  <c r="DA34" i="10"/>
  <c r="BU34" i="10"/>
  <c r="DC35" i="10"/>
  <c r="DJ34" i="10"/>
  <c r="BV34" i="10"/>
  <c r="CD34" i="10"/>
  <c r="CI34" i="10"/>
  <c r="CA34" i="10"/>
  <c r="DB34" i="10"/>
  <c r="CX34" i="10"/>
  <c r="CP35" i="10"/>
  <c r="CT34" i="10"/>
  <c r="DL34" i="10"/>
  <c r="CV35" i="10"/>
  <c r="CE34" i="10"/>
  <c r="BW34" i="10"/>
  <c r="DR34" i="9"/>
  <c r="CH34" i="9"/>
  <c r="CP34" i="9"/>
  <c r="CX34" i="9"/>
  <c r="DF34" i="9"/>
  <c r="DN34" i="9"/>
  <c r="CY34" i="9"/>
  <c r="DG34" i="9"/>
  <c r="DO34" i="9"/>
  <c r="CH35" i="10"/>
  <c r="CX35" i="10"/>
  <c r="ET35" i="10"/>
  <c r="BZ34" i="10"/>
  <c r="CP34" i="10"/>
  <c r="DF34" i="10"/>
  <c r="DN34" i="10"/>
  <c r="DV34" i="10"/>
  <c r="ED34" i="10"/>
  <c r="EL34" i="10"/>
  <c r="CA35" i="10"/>
  <c r="CI35" i="10"/>
  <c r="CQ35" i="10"/>
  <c r="CY35" i="10"/>
  <c r="DG35" i="10"/>
  <c r="DO35" i="10"/>
  <c r="DW35" i="10"/>
  <c r="EE35" i="10"/>
  <c r="EM35" i="10"/>
  <c r="EU35" i="10"/>
  <c r="BT35" i="10"/>
  <c r="CB35" i="10"/>
  <c r="CJ35" i="10"/>
  <c r="CR35" i="10"/>
  <c r="CZ35" i="10"/>
  <c r="DH35" i="10"/>
  <c r="DP35" i="10"/>
  <c r="DX35" i="10"/>
  <c r="EF35" i="10"/>
  <c r="EN35" i="10"/>
  <c r="EV35" i="10"/>
  <c r="BU35" i="10"/>
  <c r="CC35" i="10"/>
  <c r="CK35" i="10"/>
  <c r="CS35" i="10"/>
  <c r="DA35" i="10"/>
  <c r="DI35" i="10"/>
  <c r="DQ35" i="10"/>
  <c r="DY35" i="10"/>
  <c r="EG35" i="10"/>
  <c r="EO35" i="10"/>
  <c r="EW35" i="10"/>
  <c r="BV35" i="10"/>
  <c r="CD35" i="10"/>
  <c r="CL35" i="10"/>
  <c r="CT35" i="10"/>
  <c r="DB35" i="10"/>
  <c r="DJ35" i="10"/>
  <c r="DR35" i="10"/>
  <c r="DZ35" i="10"/>
  <c r="EH35" i="10"/>
  <c r="EP35" i="10"/>
  <c r="EX35" i="10"/>
  <c r="BZ34" i="9"/>
  <c r="CJ34" i="9"/>
  <c r="CR34" i="9"/>
  <c r="CZ34" i="9"/>
  <c r="DH34" i="9"/>
  <c r="DP34" i="9"/>
  <c r="DX34" i="9"/>
  <c r="EF34" i="9"/>
  <c r="EN34" i="9"/>
  <c r="EV34" i="9"/>
  <c r="CX33" i="9"/>
  <c r="BY34" i="9"/>
  <c r="CA34" i="9"/>
  <c r="CK34" i="9"/>
  <c r="CS34" i="9"/>
  <c r="DA34" i="9"/>
  <c r="DI34" i="9"/>
  <c r="DQ34" i="9"/>
  <c r="DY34" i="9"/>
  <c r="EG34" i="9"/>
  <c r="EO34" i="9"/>
  <c r="EW34" i="9"/>
  <c r="EB33" i="9"/>
  <c r="EJ33" i="9"/>
  <c r="ER33" i="9"/>
  <c r="BU34" i="9"/>
  <c r="CC34" i="9"/>
  <c r="CU34" i="9"/>
  <c r="DC34" i="9"/>
  <c r="DK34" i="9"/>
  <c r="EA34" i="9"/>
  <c r="EI34" i="9"/>
  <c r="EQ34" i="9"/>
  <c r="CB34" i="9"/>
  <c r="CN34" i="9"/>
  <c r="DD34" i="9"/>
  <c r="ER34" i="9"/>
  <c r="CG34" i="9"/>
  <c r="CO34" i="9"/>
  <c r="CW34" i="9"/>
  <c r="DE34" i="9"/>
  <c r="DM34" i="9"/>
  <c r="EC34" i="9"/>
  <c r="EK34" i="9"/>
  <c r="ES34" i="9"/>
  <c r="BT34" i="9"/>
  <c r="BX35" i="9"/>
  <c r="EY35" i="9"/>
  <c r="EB35" i="9"/>
  <c r="EJ35" i="9"/>
  <c r="ED33" i="9"/>
  <c r="EL33" i="9"/>
  <c r="ET33" i="9"/>
  <c r="EE33" i="9"/>
  <c r="EM33" i="9"/>
  <c r="EU33" i="9"/>
  <c r="EF33" i="9"/>
  <c r="EN33" i="9"/>
  <c r="EV33" i="9"/>
  <c r="EB34" i="9"/>
  <c r="EY34" i="9"/>
  <c r="EH34" i="9"/>
  <c r="EJ34" i="9"/>
  <c r="EP34" i="9"/>
  <c r="EA35" i="9"/>
  <c r="DZ34" i="9"/>
  <c r="EI35" i="9"/>
  <c r="EX34" i="9"/>
  <c r="DF33" i="9"/>
  <c r="DE33" i="9"/>
  <c r="CW33" i="9"/>
  <c r="CU35" i="9"/>
  <c r="DD33" i="9"/>
  <c r="CV33" i="9"/>
  <c r="DC33" i="9"/>
  <c r="CU33" i="9"/>
  <c r="CM33" i="9"/>
  <c r="CH33" i="9"/>
  <c r="CP33" i="9"/>
  <c r="CM35" i="9"/>
  <c r="DK35" i="9"/>
  <c r="DS35" i="9"/>
  <c r="BV35" i="9"/>
  <c r="CF35" i="9"/>
  <c r="CV35" i="9"/>
  <c r="DL35" i="9"/>
  <c r="BW35" i="9"/>
  <c r="CM34" i="9"/>
  <c r="CN35" i="9"/>
  <c r="DT35" i="9"/>
  <c r="BV34" i="9"/>
  <c r="DC35" i="9"/>
  <c r="BW34" i="9"/>
  <c r="CV34" i="9"/>
  <c r="DS34" i="9"/>
  <c r="DD35" i="9"/>
  <c r="BX34" i="9"/>
  <c r="DL34" i="9"/>
  <c r="CF34" i="9"/>
  <c r="CL35" i="9"/>
  <c r="CT35" i="9"/>
  <c r="DB35" i="9"/>
  <c r="DJ35" i="9"/>
  <c r="DR35" i="9"/>
  <c r="CL34" i="9"/>
  <c r="CE35" i="9"/>
  <c r="CE34" i="9"/>
  <c r="BY35" i="9"/>
  <c r="CG35" i="9"/>
  <c r="CO35" i="9"/>
  <c r="CW35" i="9"/>
  <c r="DE35" i="9"/>
  <c r="DM35" i="9"/>
  <c r="DU35" i="9"/>
  <c r="EC35" i="9"/>
  <c r="EK35" i="9"/>
  <c r="ES35" i="9"/>
  <c r="BZ35" i="9"/>
  <c r="CH35" i="9"/>
  <c r="CP35" i="9"/>
  <c r="CX35" i="9"/>
  <c r="DF35" i="9"/>
  <c r="DN35" i="9"/>
  <c r="DV35" i="9"/>
  <c r="ED35" i="9"/>
  <c r="EL35" i="9"/>
  <c r="ET35" i="9"/>
  <c r="CA35" i="9"/>
  <c r="CI35" i="9"/>
  <c r="CQ35" i="9"/>
  <c r="CY35" i="9"/>
  <c r="DG35" i="9"/>
  <c r="DO35" i="9"/>
  <c r="DW35" i="9"/>
  <c r="EE35" i="9"/>
  <c r="EM35" i="9"/>
  <c r="EU35" i="9"/>
  <c r="CD32" i="9"/>
  <c r="BT35" i="9"/>
  <c r="CB35" i="9"/>
  <c r="CJ35" i="9"/>
  <c r="CR35" i="9"/>
  <c r="CZ35" i="9"/>
  <c r="DH35" i="9"/>
  <c r="DP35" i="9"/>
  <c r="DX35" i="9"/>
  <c r="EF35" i="9"/>
  <c r="EN35" i="9"/>
  <c r="EV35" i="9"/>
  <c r="BU35" i="9"/>
  <c r="CC35" i="9"/>
  <c r="CK35" i="9"/>
  <c r="CS35" i="9"/>
  <c r="DA35" i="9"/>
  <c r="DI35" i="9"/>
  <c r="DQ35" i="9"/>
  <c r="DY35" i="9"/>
  <c r="EG35" i="9"/>
  <c r="EO35" i="9"/>
  <c r="EW35" i="9"/>
  <c r="CD34" i="9" l="1"/>
  <c r="CD35" i="9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E31" i="2"/>
  <c r="DE32" i="2"/>
  <c r="DE26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F26" i="7"/>
  <c r="DG26" i="7"/>
  <c r="DH26" i="7"/>
  <c r="DI26" i="7"/>
  <c r="DJ26" i="7"/>
  <c r="DK26" i="7"/>
  <c r="DL26" i="7"/>
  <c r="DE26" i="7"/>
  <c r="DR30" i="2" l="1"/>
  <c r="DB26" i="7" l="1"/>
  <c r="DC26" i="7"/>
  <c r="DD26" i="7"/>
  <c r="DA26" i="7"/>
  <c r="EV6" i="7" l="1"/>
  <c r="EW6" i="7"/>
  <c r="EX6" i="7"/>
  <c r="EY6" i="7"/>
  <c r="EV7" i="7"/>
  <c r="EW7" i="7"/>
  <c r="EX7" i="7"/>
  <c r="EY7" i="7"/>
  <c r="EV13" i="7"/>
  <c r="EW13" i="7"/>
  <c r="EX13" i="7"/>
  <c r="EY13" i="7"/>
  <c r="EV14" i="7"/>
  <c r="EW14" i="7"/>
  <c r="EX14" i="7"/>
  <c r="EY14" i="7"/>
  <c r="EV19" i="7"/>
  <c r="EV20" i="7" s="1"/>
  <c r="EW19" i="7"/>
  <c r="EW20" i="7" s="1"/>
  <c r="EX19" i="7"/>
  <c r="EX20" i="7" s="1"/>
  <c r="EY19" i="7"/>
  <c r="EY20" i="7" s="1"/>
  <c r="EV27" i="7"/>
  <c r="EW27" i="7"/>
  <c r="EX27" i="7"/>
  <c r="EY27" i="7"/>
  <c r="EV28" i="7"/>
  <c r="EW28" i="7"/>
  <c r="EX28" i="7"/>
  <c r="EY28" i="7"/>
  <c r="EV41" i="7"/>
  <c r="EW41" i="7"/>
  <c r="EX41" i="7"/>
  <c r="EY41" i="7"/>
  <c r="EV42" i="7"/>
  <c r="EW42" i="7"/>
  <c r="EX42" i="7"/>
  <c r="EY42" i="7"/>
  <c r="EV47" i="7"/>
  <c r="EV48" i="7" s="1"/>
  <c r="EW47" i="7"/>
  <c r="EW48" i="7" s="1"/>
  <c r="EX47" i="7"/>
  <c r="EX48" i="7" s="1"/>
  <c r="EY47" i="7"/>
  <c r="EY48" i="7" s="1"/>
  <c r="EV55" i="7"/>
  <c r="EW55" i="7"/>
  <c r="EX55" i="7"/>
  <c r="EY55" i="7"/>
  <c r="EV56" i="7"/>
  <c r="EW56" i="7"/>
  <c r="EX56" i="7"/>
  <c r="EY5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EM6" i="7"/>
  <c r="EN6" i="7"/>
  <c r="EO6" i="7"/>
  <c r="EP6" i="7"/>
  <c r="EQ6" i="7"/>
  <c r="ER6" i="7"/>
  <c r="ES6" i="7"/>
  <c r="ET6" i="7"/>
  <c r="EU6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EM7" i="7"/>
  <c r="EN7" i="7"/>
  <c r="EO7" i="7"/>
  <c r="EP7" i="7"/>
  <c r="EQ7" i="7"/>
  <c r="ER7" i="7"/>
  <c r="ES7" i="7"/>
  <c r="ET7" i="7"/>
  <c r="EU7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CZ19" i="7"/>
  <c r="DA19" i="7"/>
  <c r="DB19" i="7"/>
  <c r="DC19" i="7"/>
  <c r="DD19" i="7"/>
  <c r="DE19" i="7"/>
  <c r="DE21" i="7" s="1"/>
  <c r="DF19" i="7"/>
  <c r="DG19" i="7"/>
  <c r="DH19" i="7"/>
  <c r="DI19" i="7"/>
  <c r="DJ19" i="7"/>
  <c r="DK19" i="7"/>
  <c r="DL19" i="7"/>
  <c r="DM19" i="7"/>
  <c r="DN19" i="7"/>
  <c r="DO19" i="7"/>
  <c r="DP19" i="7"/>
  <c r="DP21" i="7" s="1"/>
  <c r="DQ19" i="7"/>
  <c r="DR19" i="7"/>
  <c r="DS19" i="7"/>
  <c r="DS20" i="7" s="1"/>
  <c r="DT19" i="7"/>
  <c r="DT20" i="7" s="1"/>
  <c r="DU19" i="7"/>
  <c r="DV19" i="7"/>
  <c r="DW19" i="7"/>
  <c r="DX19" i="7"/>
  <c r="DY19" i="7"/>
  <c r="DZ19" i="7"/>
  <c r="EA19" i="7"/>
  <c r="EB19" i="7"/>
  <c r="EC19" i="7"/>
  <c r="ED19" i="7"/>
  <c r="EE19" i="7"/>
  <c r="EF19" i="7"/>
  <c r="EF54" i="7" s="1"/>
  <c r="EF56" i="7" s="1"/>
  <c r="EG19" i="7"/>
  <c r="EH19" i="7"/>
  <c r="EI19" i="7"/>
  <c r="EJ19" i="7"/>
  <c r="EK19" i="7"/>
  <c r="EL19" i="7"/>
  <c r="EM19" i="7"/>
  <c r="EN19" i="7"/>
  <c r="EN21" i="7" s="1"/>
  <c r="EO19" i="7"/>
  <c r="EP19" i="7"/>
  <c r="EQ19" i="7"/>
  <c r="ER19" i="7"/>
  <c r="ES19" i="7"/>
  <c r="ET19" i="7"/>
  <c r="EU19" i="7"/>
  <c r="EU20" i="7" s="1"/>
  <c r="CZ20" i="7"/>
  <c r="DA20" i="7"/>
  <c r="DB20" i="7"/>
  <c r="DQ20" i="7"/>
  <c r="DR20" i="7"/>
  <c r="DY20" i="7"/>
  <c r="DZ20" i="7"/>
  <c r="EA20" i="7"/>
  <c r="EF20" i="7"/>
  <c r="DX21" i="7"/>
  <c r="DY21" i="7"/>
  <c r="DZ21" i="7"/>
  <c r="EF21" i="7"/>
  <c r="EG21" i="7"/>
  <c r="EH21" i="7"/>
  <c r="EO21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EC27" i="7"/>
  <c r="ED27" i="7"/>
  <c r="EE27" i="7"/>
  <c r="EF27" i="7"/>
  <c r="EG27" i="7"/>
  <c r="EH27" i="7"/>
  <c r="EI27" i="7"/>
  <c r="EJ27" i="7"/>
  <c r="EK27" i="7"/>
  <c r="EL27" i="7"/>
  <c r="EM27" i="7"/>
  <c r="EN27" i="7"/>
  <c r="EO27" i="7"/>
  <c r="EP27" i="7"/>
  <c r="EQ27" i="7"/>
  <c r="ER27" i="7"/>
  <c r="ES27" i="7"/>
  <c r="ET27" i="7"/>
  <c r="EU27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EC42" i="7"/>
  <c r="ED42" i="7"/>
  <c r="EE42" i="7"/>
  <c r="EF42" i="7"/>
  <c r="EG42" i="7"/>
  <c r="EH42" i="7"/>
  <c r="EI42" i="7"/>
  <c r="EJ42" i="7"/>
  <c r="EK42" i="7"/>
  <c r="EL42" i="7"/>
  <c r="EM42" i="7"/>
  <c r="EN42" i="7"/>
  <c r="EO42" i="7"/>
  <c r="EP42" i="7"/>
  <c r="EQ42" i="7"/>
  <c r="ER42" i="7"/>
  <c r="ES42" i="7"/>
  <c r="ET42" i="7"/>
  <c r="EU42" i="7"/>
  <c r="CZ47" i="7"/>
  <c r="CZ49" i="7" s="1"/>
  <c r="DA47" i="7"/>
  <c r="DB47" i="7"/>
  <c r="DB49" i="7" s="1"/>
  <c r="DC47" i="7"/>
  <c r="DC49" i="7" s="1"/>
  <c r="DD47" i="7"/>
  <c r="DD48" i="7" s="1"/>
  <c r="DE47" i="7"/>
  <c r="DE49" i="7" s="1"/>
  <c r="DF47" i="7"/>
  <c r="DF49" i="7" s="1"/>
  <c r="DG47" i="7"/>
  <c r="DG49" i="7" s="1"/>
  <c r="DH47" i="7"/>
  <c r="DH49" i="7" s="1"/>
  <c r="DI47" i="7"/>
  <c r="DI49" i="7" s="1"/>
  <c r="DJ47" i="7"/>
  <c r="DJ49" i="7" s="1"/>
  <c r="DK47" i="7"/>
  <c r="DK49" i="7" s="1"/>
  <c r="DL47" i="7"/>
  <c r="DL49" i="7" s="1"/>
  <c r="DM47" i="7"/>
  <c r="DM49" i="7" s="1"/>
  <c r="DN47" i="7"/>
  <c r="DN49" i="7" s="1"/>
  <c r="DO47" i="7"/>
  <c r="DO49" i="7" s="1"/>
  <c r="DP47" i="7"/>
  <c r="DP49" i="7" s="1"/>
  <c r="DQ47" i="7"/>
  <c r="DQ49" i="7" s="1"/>
  <c r="DR47" i="7"/>
  <c r="DR48" i="7" s="1"/>
  <c r="DS47" i="7"/>
  <c r="DS49" i="7" s="1"/>
  <c r="DT47" i="7"/>
  <c r="DT48" i="7" s="1"/>
  <c r="DU47" i="7"/>
  <c r="DU49" i="7" s="1"/>
  <c r="DV47" i="7"/>
  <c r="DV49" i="7" s="1"/>
  <c r="DW47" i="7"/>
  <c r="DW49" i="7" s="1"/>
  <c r="DX47" i="7"/>
  <c r="DX49" i="7" s="1"/>
  <c r="DY47" i="7"/>
  <c r="DY49" i="7" s="1"/>
  <c r="DZ47" i="7"/>
  <c r="DZ49" i="7" s="1"/>
  <c r="EA47" i="7"/>
  <c r="EA49" i="7" s="1"/>
  <c r="EB47" i="7"/>
  <c r="EB48" i="7" s="1"/>
  <c r="EC47" i="7"/>
  <c r="EC49" i="7" s="1"/>
  <c r="ED47" i="7"/>
  <c r="ED49" i="7" s="1"/>
  <c r="EE47" i="7"/>
  <c r="EE49" i="7" s="1"/>
  <c r="EF47" i="7"/>
  <c r="EF49" i="7" s="1"/>
  <c r="EG47" i="7"/>
  <c r="EG49" i="7" s="1"/>
  <c r="EH47" i="7"/>
  <c r="EH48" i="7" s="1"/>
  <c r="EI47" i="7"/>
  <c r="EI49" i="7" s="1"/>
  <c r="EJ47" i="7"/>
  <c r="EJ48" i="7" s="1"/>
  <c r="EK47" i="7"/>
  <c r="EK49" i="7" s="1"/>
  <c r="EL47" i="7"/>
  <c r="EL49" i="7" s="1"/>
  <c r="EM47" i="7"/>
  <c r="EM48" i="7" s="1"/>
  <c r="EN47" i="7"/>
  <c r="EN48" i="7" s="1"/>
  <c r="EO47" i="7"/>
  <c r="EO48" i="7" s="1"/>
  <c r="EP47" i="7"/>
  <c r="EP49" i="7" s="1"/>
  <c r="EQ47" i="7"/>
  <c r="EQ49" i="7" s="1"/>
  <c r="ER47" i="7"/>
  <c r="ER49" i="7" s="1"/>
  <c r="ES47" i="7"/>
  <c r="ES49" i="7" s="1"/>
  <c r="ET47" i="7"/>
  <c r="ET49" i="7" s="1"/>
  <c r="EU47" i="7"/>
  <c r="EU49" i="7" s="1"/>
  <c r="CZ48" i="7"/>
  <c r="DI48" i="7"/>
  <c r="DJ48" i="7"/>
  <c r="DQ48" i="7"/>
  <c r="EC48" i="7"/>
  <c r="EU55" i="7"/>
  <c r="EU56" i="7"/>
  <c r="ET20" i="7" l="1"/>
  <c r="ET54" i="7"/>
  <c r="ES20" i="7"/>
  <c r="ES54" i="7"/>
  <c r="EF55" i="7"/>
  <c r="ER21" i="7"/>
  <c r="ER54" i="7"/>
  <c r="EL20" i="7"/>
  <c r="EL54" i="7"/>
  <c r="EK20" i="7"/>
  <c r="EK54" i="7"/>
  <c r="EC20" i="7"/>
  <c r="EC54" i="7"/>
  <c r="ED20" i="7"/>
  <c r="ED54" i="7"/>
  <c r="EJ20" i="7"/>
  <c r="EJ54" i="7"/>
  <c r="EB20" i="7"/>
  <c r="EB54" i="7"/>
  <c r="EE20" i="7"/>
  <c r="EE54" i="7"/>
  <c r="EQ20" i="7"/>
  <c r="EQ54" i="7"/>
  <c r="EI20" i="7"/>
  <c r="EI54" i="7"/>
  <c r="EM20" i="7"/>
  <c r="EM54" i="7"/>
  <c r="EP21" i="7"/>
  <c r="EP54" i="7"/>
  <c r="EH20" i="7"/>
  <c r="EH54" i="7"/>
  <c r="EO20" i="7"/>
  <c r="EO54" i="7"/>
  <c r="EG20" i="7"/>
  <c r="EG54" i="7"/>
  <c r="EN20" i="7"/>
  <c r="EN54" i="7"/>
  <c r="DZ48" i="7"/>
  <c r="EH49" i="7"/>
  <c r="ES21" i="7"/>
  <c r="EJ49" i="7"/>
  <c r="EQ21" i="7"/>
  <c r="DV48" i="7"/>
  <c r="DN48" i="7"/>
  <c r="EK21" i="7"/>
  <c r="ER20" i="7"/>
  <c r="EK48" i="7"/>
  <c r="EP20" i="7"/>
  <c r="DU48" i="7"/>
  <c r="DM48" i="7"/>
  <c r="EI21" i="7"/>
  <c r="DL48" i="7"/>
  <c r="DR49" i="7"/>
  <c r="EP48" i="7"/>
  <c r="ER48" i="7"/>
  <c r="EB49" i="7"/>
  <c r="DH48" i="7"/>
  <c r="DP48" i="7"/>
  <c r="DD49" i="7"/>
  <c r="DS48" i="7"/>
  <c r="EA48" i="7"/>
  <c r="DC48" i="7"/>
  <c r="DY56" i="7"/>
  <c r="EI48" i="7"/>
  <c r="DK48" i="7"/>
  <c r="DE48" i="7"/>
  <c r="DM56" i="7"/>
  <c r="DB48" i="7"/>
  <c r="EA56" i="7"/>
  <c r="DZ56" i="7"/>
  <c r="DW48" i="7"/>
  <c r="DO48" i="7"/>
  <c r="DG48" i="7"/>
  <c r="DF48" i="7"/>
  <c r="EA21" i="7"/>
  <c r="EC21" i="7"/>
  <c r="DT56" i="7"/>
  <c r="DW20" i="7"/>
  <c r="DW56" i="7"/>
  <c r="DX20" i="7"/>
  <c r="DX56" i="7"/>
  <c r="DU20" i="7"/>
  <c r="DU56" i="7"/>
  <c r="DU21" i="7"/>
  <c r="DV21" i="7"/>
  <c r="DV56" i="7"/>
  <c r="DM21" i="7"/>
  <c r="DA48" i="7"/>
  <c r="EO49" i="7"/>
  <c r="EE48" i="7"/>
  <c r="EL48" i="7"/>
  <c r="ED48" i="7"/>
  <c r="EG48" i="7"/>
  <c r="EF48" i="7"/>
  <c r="DY48" i="7"/>
  <c r="DX48" i="7"/>
  <c r="DQ56" i="7"/>
  <c r="DT49" i="7"/>
  <c r="DA49" i="7"/>
  <c r="EN49" i="7"/>
  <c r="EU48" i="7"/>
  <c r="DS55" i="7"/>
  <c r="ET48" i="7"/>
  <c r="ES48" i="7"/>
  <c r="DR56" i="7"/>
  <c r="EQ48" i="7"/>
  <c r="DO56" i="7"/>
  <c r="EY49" i="7"/>
  <c r="DS21" i="7"/>
  <c r="DR21" i="7"/>
  <c r="DQ21" i="7"/>
  <c r="DF21" i="7"/>
  <c r="DF56" i="7"/>
  <c r="DM20" i="7"/>
  <c r="DC20" i="7"/>
  <c r="DJ20" i="7"/>
  <c r="DN20" i="7"/>
  <c r="DE20" i="7"/>
  <c r="DE56" i="7"/>
  <c r="DP20" i="7"/>
  <c r="DH21" i="7"/>
  <c r="DG21" i="7"/>
  <c r="EU21" i="7"/>
  <c r="EM21" i="7"/>
  <c r="EE21" i="7"/>
  <c r="DW21" i="7"/>
  <c r="DN21" i="7"/>
  <c r="EX49" i="7"/>
  <c r="DO20" i="7"/>
  <c r="DV20" i="7"/>
  <c r="DF20" i="7"/>
  <c r="EV49" i="7"/>
  <c r="EJ21" i="7"/>
  <c r="EB21" i="7"/>
  <c r="DT21" i="7"/>
  <c r="EM49" i="7"/>
  <c r="ET21" i="7"/>
  <c r="EL21" i="7"/>
  <c r="ED21" i="7"/>
  <c r="EW49" i="7"/>
  <c r="DG20" i="7"/>
  <c r="DO21" i="7"/>
  <c r="CZ56" i="7"/>
  <c r="CZ21" i="7"/>
  <c r="DD21" i="7"/>
  <c r="DC21" i="7"/>
  <c r="DB21" i="7"/>
  <c r="DA21" i="7"/>
  <c r="DL21" i="7"/>
  <c r="DK21" i="7"/>
  <c r="DJ21" i="7"/>
  <c r="DI21" i="7"/>
  <c r="DH20" i="7"/>
  <c r="DI20" i="7"/>
  <c r="DK20" i="7"/>
  <c r="DL20" i="7"/>
  <c r="DD20" i="7"/>
  <c r="EY21" i="7"/>
  <c r="EX21" i="7"/>
  <c r="EW21" i="7"/>
  <c r="EV21" i="7"/>
  <c r="ET56" i="7" l="1"/>
  <c r="ET55" i="7"/>
  <c r="ES56" i="7"/>
  <c r="ES55" i="7"/>
  <c r="ER56" i="7"/>
  <c r="ER55" i="7"/>
  <c r="ED55" i="7"/>
  <c r="ED56" i="7"/>
  <c r="EP56" i="7"/>
  <c r="EP55" i="7"/>
  <c r="EQ56" i="7"/>
  <c r="EQ55" i="7"/>
  <c r="EC56" i="7"/>
  <c r="EC55" i="7"/>
  <c r="EM55" i="7"/>
  <c r="EM56" i="7"/>
  <c r="EB56" i="7"/>
  <c r="EB55" i="7"/>
  <c r="EK55" i="7"/>
  <c r="EK56" i="7"/>
  <c r="EG55" i="7"/>
  <c r="EG56" i="7"/>
  <c r="EN56" i="7"/>
  <c r="EN55" i="7"/>
  <c r="EI56" i="7"/>
  <c r="EI55" i="7"/>
  <c r="EJ56" i="7"/>
  <c r="EJ55" i="7"/>
  <c r="EL55" i="7"/>
  <c r="EL56" i="7"/>
  <c r="EH56" i="7"/>
  <c r="EH55" i="7"/>
  <c r="EE55" i="7"/>
  <c r="EE56" i="7"/>
  <c r="EO56" i="7"/>
  <c r="EO55" i="7"/>
  <c r="EA55" i="7"/>
  <c r="DY55" i="7"/>
  <c r="DZ55" i="7"/>
  <c r="DT55" i="7"/>
  <c r="DW55" i="7"/>
  <c r="DX55" i="7"/>
  <c r="DU55" i="7"/>
  <c r="DV55" i="7"/>
  <c r="DS56" i="7"/>
  <c r="DQ55" i="7"/>
  <c r="DR55" i="7"/>
  <c r="DO55" i="7"/>
  <c r="DP56" i="7"/>
  <c r="DP55" i="7"/>
  <c r="DF55" i="7"/>
  <c r="DG56" i="7"/>
  <c r="DG55" i="7"/>
  <c r="DN55" i="7"/>
  <c r="DN56" i="7"/>
  <c r="DE55" i="7"/>
  <c r="CZ55" i="7"/>
  <c r="DM55" i="7"/>
  <c r="DH55" i="7"/>
  <c r="DH56" i="7"/>
  <c r="DL56" i="7"/>
  <c r="DL55" i="7"/>
  <c r="DD56" i="7"/>
  <c r="DD55" i="7"/>
  <c r="DI56" i="7"/>
  <c r="DI55" i="7"/>
  <c r="DA55" i="7"/>
  <c r="DA56" i="7"/>
  <c r="DJ55" i="7"/>
  <c r="DJ56" i="7"/>
  <c r="DB56" i="7"/>
  <c r="DB55" i="7"/>
  <c r="DK56" i="7"/>
  <c r="DK55" i="7"/>
  <c r="DC55" i="7"/>
  <c r="DC56" i="7"/>
  <c r="EY6" i="2"/>
  <c r="EY7" i="2"/>
  <c r="EY12" i="2"/>
  <c r="EY13" i="2"/>
  <c r="EY14" i="2"/>
  <c r="EY19" i="2"/>
  <c r="EY20" i="2"/>
  <c r="EY21" i="2"/>
  <c r="EY30" i="2"/>
  <c r="EY31" i="2"/>
  <c r="EY32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V33" i="2" s="1"/>
  <c r="EW12" i="2"/>
  <c r="EX12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C33" i="2" s="1"/>
  <c r="ED19" i="2"/>
  <c r="EE19" i="2"/>
  <c r="EF19" i="2"/>
  <c r="EG19" i="2"/>
  <c r="EH19" i="2"/>
  <c r="EI19" i="2"/>
  <c r="EJ19" i="2"/>
  <c r="EK19" i="2"/>
  <c r="EL19" i="2"/>
  <c r="EL33" i="2" s="1"/>
  <c r="EM19" i="2"/>
  <c r="EN19" i="2"/>
  <c r="EO19" i="2"/>
  <c r="EP19" i="2"/>
  <c r="EQ19" i="2"/>
  <c r="EQ33" i="2" s="1"/>
  <c r="ER19" i="2"/>
  <c r="ES19" i="2"/>
  <c r="ET19" i="2"/>
  <c r="ET33" i="2" s="1"/>
  <c r="EU19" i="2"/>
  <c r="EV19" i="2"/>
  <c r="EW19" i="2"/>
  <c r="EX19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Q34" i="2" s="1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CZ31" i="2"/>
  <c r="DA31" i="2"/>
  <c r="DB31" i="2"/>
  <c r="DC31" i="2"/>
  <c r="DD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CZ32" i="2"/>
  <c r="DA32" i="2"/>
  <c r="DB32" i="2"/>
  <c r="DC32" i="2"/>
  <c r="DD32" i="2"/>
  <c r="DP34" i="2"/>
  <c r="DU32" i="2"/>
  <c r="DU34" i="2" s="1"/>
  <c r="DV32" i="2"/>
  <c r="DW32" i="2"/>
  <c r="DW34" i="2" s="1"/>
  <c r="DX32" i="2"/>
  <c r="DY32" i="2"/>
  <c r="DY34" i="2" s="1"/>
  <c r="DZ32" i="2"/>
  <c r="EA32" i="2"/>
  <c r="EB32" i="2"/>
  <c r="EC32" i="2"/>
  <c r="EC34" i="2" s="1"/>
  <c r="ED32" i="2"/>
  <c r="EE32" i="2"/>
  <c r="EE34" i="2" s="1"/>
  <c r="EF32" i="2"/>
  <c r="EG32" i="2"/>
  <c r="EG34" i="2" s="1"/>
  <c r="EH32" i="2"/>
  <c r="EI32" i="2"/>
  <c r="EJ32" i="2"/>
  <c r="EK32" i="2"/>
  <c r="EK34" i="2" s="1"/>
  <c r="EL32" i="2"/>
  <c r="EL34" i="2" s="1"/>
  <c r="EM32" i="2"/>
  <c r="EM34" i="2" s="1"/>
  <c r="EN32" i="2"/>
  <c r="EO32" i="2"/>
  <c r="EO34" i="2" s="1"/>
  <c r="EP32" i="2"/>
  <c r="EQ32" i="2"/>
  <c r="ER32" i="2"/>
  <c r="ES32" i="2"/>
  <c r="ES34" i="2" s="1"/>
  <c r="ET32" i="2"/>
  <c r="ET34" i="2" s="1"/>
  <c r="EU32" i="2"/>
  <c r="EU34" i="2" s="1"/>
  <c r="EV32" i="2"/>
  <c r="EW32" i="2"/>
  <c r="EW34" i="2" s="1"/>
  <c r="EX32" i="2"/>
  <c r="ES33" i="2" l="1"/>
  <c r="EN33" i="2"/>
  <c r="EI33" i="2"/>
  <c r="EK33" i="2"/>
  <c r="ED33" i="2"/>
  <c r="EF33" i="2"/>
  <c r="EC35" i="2"/>
  <c r="EA33" i="2"/>
  <c r="DX33" i="2"/>
  <c r="DU33" i="2"/>
  <c r="DV33" i="2"/>
  <c r="DT33" i="2"/>
  <c r="DQ33" i="2"/>
  <c r="DI33" i="2"/>
  <c r="DS33" i="2"/>
  <c r="DH33" i="2"/>
  <c r="DG33" i="2"/>
  <c r="DN33" i="2"/>
  <c r="DF33" i="2"/>
  <c r="DM33" i="2"/>
  <c r="DE33" i="2"/>
  <c r="DL33" i="2"/>
  <c r="DK33" i="2"/>
  <c r="DP33" i="2"/>
  <c r="DO33" i="2"/>
  <c r="DR33" i="2"/>
  <c r="DJ33" i="2"/>
  <c r="ED34" i="2"/>
  <c r="CZ33" i="2"/>
  <c r="DY33" i="2"/>
  <c r="DV34" i="2"/>
  <c r="EB35" i="2"/>
  <c r="DI34" i="2"/>
  <c r="DA34" i="2"/>
  <c r="DO34" i="2"/>
  <c r="EV34" i="2"/>
  <c r="EF34" i="2"/>
  <c r="DN34" i="2"/>
  <c r="DM34" i="2"/>
  <c r="DE34" i="2"/>
  <c r="CZ34" i="2"/>
  <c r="DG34" i="2"/>
  <c r="EU35" i="2"/>
  <c r="DF34" i="2"/>
  <c r="EY34" i="2"/>
  <c r="DC33" i="2"/>
  <c r="DM35" i="2"/>
  <c r="DA33" i="2"/>
  <c r="EE35" i="2"/>
  <c r="ER35" i="2"/>
  <c r="DL35" i="2"/>
  <c r="DO35" i="2"/>
  <c r="ET35" i="2"/>
  <c r="ED35" i="2"/>
  <c r="DN35" i="2"/>
  <c r="ES35" i="2"/>
  <c r="EN34" i="2"/>
  <c r="DX34" i="2"/>
  <c r="DH34" i="2"/>
  <c r="EW33" i="2"/>
  <c r="EX33" i="2"/>
  <c r="DB33" i="2"/>
  <c r="DZ33" i="2"/>
  <c r="EO33" i="2"/>
  <c r="EG33" i="2"/>
  <c r="EY35" i="2"/>
  <c r="EY33" i="2"/>
  <c r="EP33" i="2"/>
  <c r="EH33" i="2"/>
  <c r="EQ34" i="2"/>
  <c r="EI34" i="2"/>
  <c r="EA34" i="2"/>
  <c r="DS34" i="2"/>
  <c r="DK34" i="2"/>
  <c r="DC34" i="2"/>
  <c r="ER34" i="2"/>
  <c r="EJ34" i="2"/>
  <c r="EB34" i="2"/>
  <c r="DT34" i="2"/>
  <c r="DL34" i="2"/>
  <c r="DD34" i="2"/>
  <c r="ER33" i="2"/>
  <c r="EJ33" i="2"/>
  <c r="EB33" i="2"/>
  <c r="DD33" i="2"/>
  <c r="EM35" i="2"/>
  <c r="DW35" i="2"/>
  <c r="DG35" i="2"/>
  <c r="EL35" i="2"/>
  <c r="DV35" i="2"/>
  <c r="DF35" i="2"/>
  <c r="EX35" i="2"/>
  <c r="EP35" i="2"/>
  <c r="EH35" i="2"/>
  <c r="DZ35" i="2"/>
  <c r="DR35" i="2"/>
  <c r="DJ35" i="2"/>
  <c r="DB35" i="2"/>
  <c r="EK35" i="2"/>
  <c r="DU35" i="2"/>
  <c r="DE35" i="2"/>
  <c r="EJ35" i="2"/>
  <c r="DT35" i="2"/>
  <c r="DD35" i="2"/>
  <c r="EV35" i="2"/>
  <c r="EN35" i="2"/>
  <c r="EF35" i="2"/>
  <c r="DX35" i="2"/>
  <c r="DP35" i="2"/>
  <c r="DH35" i="2"/>
  <c r="CZ35" i="2"/>
  <c r="EQ35" i="2"/>
  <c r="EI35" i="2"/>
  <c r="EA35" i="2"/>
  <c r="DS35" i="2"/>
  <c r="DK35" i="2"/>
  <c r="DC35" i="2"/>
  <c r="EU33" i="2"/>
  <c r="EM33" i="2"/>
  <c r="EE33" i="2"/>
  <c r="DW33" i="2"/>
  <c r="EW35" i="2"/>
  <c r="EO35" i="2"/>
  <c r="EG35" i="2"/>
  <c r="DY35" i="2"/>
  <c r="DQ35" i="2"/>
  <c r="DI35" i="2"/>
  <c r="DA35" i="2"/>
  <c r="EX34" i="2"/>
  <c r="EP34" i="2"/>
  <c r="EH34" i="2"/>
  <c r="DZ34" i="2"/>
  <c r="DR34" i="2"/>
  <c r="DJ34" i="2"/>
  <c r="DB34" i="2"/>
  <c r="CM13" i="7" l="1"/>
  <c r="CN13" i="7"/>
  <c r="CO13" i="7"/>
  <c r="CP13" i="7"/>
  <c r="CQ13" i="7"/>
  <c r="CR13" i="7"/>
  <c r="CS13" i="7"/>
  <c r="CT13" i="7"/>
  <c r="CU13" i="7"/>
  <c r="CV13" i="7"/>
  <c r="CW13" i="7"/>
  <c r="CX13" i="7"/>
  <c r="CY13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M19" i="7"/>
  <c r="CM21" i="7" s="1"/>
  <c r="CN19" i="7"/>
  <c r="CN20" i="7" s="1"/>
  <c r="CO19" i="7"/>
  <c r="CO20" i="7" s="1"/>
  <c r="CP19" i="7"/>
  <c r="CP20" i="7" s="1"/>
  <c r="CQ19" i="7"/>
  <c r="CQ21" i="7" s="1"/>
  <c r="CR19" i="7"/>
  <c r="CR21" i="7" s="1"/>
  <c r="CS19" i="7"/>
  <c r="CS20" i="7" s="1"/>
  <c r="CT19" i="7"/>
  <c r="CT20" i="7" s="1"/>
  <c r="CU19" i="7"/>
  <c r="CU20" i="7" s="1"/>
  <c r="CV19" i="7"/>
  <c r="CV21" i="7" s="1"/>
  <c r="CW19" i="7"/>
  <c r="CW21" i="7" s="1"/>
  <c r="CX19" i="7"/>
  <c r="CX21" i="7" s="1"/>
  <c r="CY19" i="7"/>
  <c r="CM20" i="7"/>
  <c r="CU21" i="7" l="1"/>
  <c r="CP21" i="7"/>
  <c r="CN21" i="7"/>
  <c r="CY21" i="7"/>
  <c r="CT21" i="7"/>
  <c r="CV20" i="7"/>
  <c r="CW20" i="7"/>
  <c r="CS21" i="7"/>
  <c r="CX20" i="7"/>
  <c r="CO21" i="7"/>
  <c r="CR20" i="7"/>
  <c r="CY20" i="7"/>
  <c r="CQ20" i="7"/>
  <c r="CL13" i="7" l="1"/>
  <c r="CL14" i="7"/>
  <c r="CL19" i="7"/>
  <c r="CL21" i="7" s="1"/>
  <c r="CL20" i="7" l="1"/>
  <c r="CY6" i="2" l="1"/>
  <c r="CY7" i="2"/>
  <c r="CY12" i="2"/>
  <c r="CY13" i="2"/>
  <c r="CY14" i="2"/>
  <c r="CY19" i="2"/>
  <c r="CY20" i="2"/>
  <c r="CY21" i="2"/>
  <c r="CY30" i="2"/>
  <c r="CY31" i="2"/>
  <c r="CY32" i="2"/>
  <c r="CY34" i="2" l="1"/>
  <c r="CY33" i="2"/>
  <c r="CY35" i="2"/>
  <c r="CY6" i="7" l="1"/>
  <c r="CY7" i="7"/>
  <c r="CY27" i="7"/>
  <c r="CY28" i="7"/>
  <c r="CY41" i="7"/>
  <c r="CY42" i="7"/>
  <c r="CY47" i="7"/>
  <c r="CX6" i="7"/>
  <c r="CX7" i="7"/>
  <c r="CX27" i="7"/>
  <c r="CX28" i="7"/>
  <c r="CX41" i="7"/>
  <c r="CX42" i="7"/>
  <c r="CX47" i="7"/>
  <c r="CY48" i="7" l="1"/>
  <c r="CY55" i="7"/>
  <c r="CX48" i="7"/>
  <c r="CX55" i="7"/>
  <c r="CY49" i="7"/>
  <c r="CX49" i="7"/>
  <c r="CX6" i="2"/>
  <c r="CX7" i="2"/>
  <c r="CX12" i="2"/>
  <c r="CX13" i="2"/>
  <c r="CX14" i="2"/>
  <c r="CX19" i="2"/>
  <c r="CX20" i="2"/>
  <c r="CX21" i="2"/>
  <c r="CX30" i="2"/>
  <c r="CX31" i="2"/>
  <c r="CX32" i="2"/>
  <c r="CY56" i="7" l="1"/>
  <c r="CX56" i="7"/>
  <c r="CX34" i="2"/>
  <c r="CX35" i="2"/>
  <c r="CX33" i="2"/>
  <c r="CW19" i="2"/>
  <c r="CK13" i="7" l="1"/>
  <c r="CI47" i="7" l="1"/>
  <c r="CI48" i="7" s="1"/>
  <c r="CJ47" i="7"/>
  <c r="CJ48" i="7" s="1"/>
  <c r="CI51" i="7"/>
  <c r="CJ51" i="7"/>
  <c r="CI52" i="7"/>
  <c r="CJ52" i="7"/>
  <c r="CI53" i="7"/>
  <c r="CJ53" i="7"/>
  <c r="CI49" i="7" l="1"/>
  <c r="CJ49" i="7"/>
  <c r="CU19" i="2" l="1"/>
  <c r="CV19" i="2"/>
  <c r="CH19" i="2" l="1"/>
  <c r="CI19" i="2"/>
  <c r="CJ19" i="2"/>
  <c r="CK19" i="2"/>
  <c r="CL19" i="2"/>
  <c r="CM19" i="2"/>
  <c r="CN19" i="2"/>
  <c r="CO19" i="2"/>
  <c r="CP19" i="2"/>
  <c r="CQ19" i="2"/>
  <c r="CR19" i="2"/>
  <c r="CS19" i="2"/>
  <c r="CT19" i="2"/>
  <c r="CG19" i="2"/>
  <c r="CR47" i="7" l="1"/>
  <c r="CS47" i="7"/>
  <c r="CT47" i="7"/>
  <c r="CU47" i="7"/>
  <c r="CV47" i="7"/>
  <c r="CW47" i="7"/>
  <c r="CE11" i="2" l="1"/>
  <c r="CD11" i="2"/>
  <c r="CQ47" i="7" l="1"/>
  <c r="CC12" i="2" l="1"/>
  <c r="CP47" i="7" l="1"/>
  <c r="CO47" i="7" l="1"/>
  <c r="CS12" i="2" l="1"/>
  <c r="CT12" i="2"/>
  <c r="CU12" i="2"/>
  <c r="CV12" i="2"/>
  <c r="CW12" i="2"/>
  <c r="CN47" i="7" l="1"/>
  <c r="CM47" i="7" l="1"/>
  <c r="CL47" i="7" l="1"/>
  <c r="CK47" i="7" l="1"/>
  <c r="CK48" i="7" l="1"/>
  <c r="CK49" i="7"/>
  <c r="BV7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BV14" i="2" l="1"/>
  <c r="BU12" i="2" l="1"/>
  <c r="BT13" i="7" l="1"/>
  <c r="BT7" i="7"/>
  <c r="BT6" i="7"/>
  <c r="BT14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BU32" i="2"/>
  <c r="BV32" i="2"/>
  <c r="BW32" i="2"/>
  <c r="BX32" i="2"/>
  <c r="BY32" i="2"/>
  <c r="BY34" i="2" s="1"/>
  <c r="BZ32" i="2"/>
  <c r="BZ34" i="2" s="1"/>
  <c r="CA32" i="2"/>
  <c r="CB32" i="2"/>
  <c r="CC32" i="2"/>
  <c r="CD32" i="2"/>
  <c r="CD34" i="2" s="1"/>
  <c r="CE32" i="2"/>
  <c r="CF32" i="2"/>
  <c r="CG32" i="2"/>
  <c r="CG34" i="2" s="1"/>
  <c r="CH32" i="2"/>
  <c r="CH34" i="2" s="1"/>
  <c r="CI32" i="2"/>
  <c r="CJ32" i="2"/>
  <c r="CK32" i="2"/>
  <c r="CL32" i="2"/>
  <c r="CL35" i="2" s="1"/>
  <c r="CM32" i="2"/>
  <c r="CN32" i="2"/>
  <c r="CO32" i="2"/>
  <c r="CP32" i="2"/>
  <c r="CP34" i="2" s="1"/>
  <c r="CQ32" i="2"/>
  <c r="CR32" i="2"/>
  <c r="CS32" i="2"/>
  <c r="CT32" i="2"/>
  <c r="CT35" i="2" s="1"/>
  <c r="CU32" i="2"/>
  <c r="CV32" i="2"/>
  <c r="CW32" i="2"/>
  <c r="CW34" i="2" s="1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BT33" i="2"/>
  <c r="BT32" i="2"/>
  <c r="BT31" i="2"/>
  <c r="BT30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U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V13" i="2"/>
  <c r="BY47" i="7"/>
  <c r="BZ47" i="7"/>
  <c r="CA47" i="7"/>
  <c r="CB47" i="7"/>
  <c r="CC47" i="7"/>
  <c r="CD47" i="7"/>
  <c r="CE47" i="7"/>
  <c r="CF47" i="7"/>
  <c r="CG47" i="7"/>
  <c r="CH47" i="7"/>
  <c r="BX47" i="7"/>
  <c r="CQ34" i="2" l="1"/>
  <c r="CA34" i="2"/>
  <c r="CC34" i="2"/>
  <c r="BU34" i="2"/>
  <c r="CS35" i="2"/>
  <c r="CK35" i="2"/>
  <c r="CV34" i="2"/>
  <c r="CF34" i="2"/>
  <c r="CU34" i="2"/>
  <c r="CM34" i="2"/>
  <c r="CE34" i="2"/>
  <c r="CR35" i="2"/>
  <c r="CJ35" i="2"/>
  <c r="CN35" i="2"/>
  <c r="CN34" i="2"/>
  <c r="CW35" i="2"/>
  <c r="CS34" i="2"/>
  <c r="CT34" i="2"/>
  <c r="CO35" i="2"/>
  <c r="CO34" i="2"/>
  <c r="BV34" i="2"/>
  <c r="CV35" i="2"/>
  <c r="CR34" i="2"/>
  <c r="CU35" i="2"/>
  <c r="CM35" i="2"/>
  <c r="BW34" i="2"/>
  <c r="CK34" i="2"/>
  <c r="CJ34" i="2"/>
  <c r="CC35" i="2"/>
  <c r="BV35" i="2"/>
  <c r="CI35" i="2"/>
  <c r="BX35" i="2"/>
  <c r="BU35" i="2"/>
  <c r="CL34" i="2"/>
  <c r="CP35" i="2"/>
  <c r="CQ35" i="2"/>
  <c r="CF35" i="2"/>
  <c r="CI34" i="2"/>
  <c r="BX34" i="2"/>
  <c r="CE35" i="2"/>
  <c r="BW35" i="2"/>
  <c r="CB34" i="2"/>
  <c r="CB35" i="2"/>
  <c r="CA35" i="2"/>
  <c r="CD35" i="2"/>
  <c r="BY35" i="2"/>
  <c r="CH35" i="2"/>
  <c r="BZ35" i="2"/>
  <c r="CG35" i="2"/>
  <c r="BT34" i="2"/>
  <c r="BT35" i="2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K51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K52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K53" i="7"/>
  <c r="BI53" i="7"/>
  <c r="BI52" i="7"/>
  <c r="BI51" i="7"/>
  <c r="E52" i="7"/>
  <c r="E51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BP6" i="7"/>
  <c r="BQ6" i="7"/>
  <c r="BR6" i="7"/>
  <c r="BS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BP7" i="7"/>
  <c r="BQ7" i="7"/>
  <c r="BR7" i="7"/>
  <c r="BS7" i="7"/>
  <c r="BU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BP13" i="7"/>
  <c r="BQ13" i="7"/>
  <c r="BR13" i="7"/>
  <c r="BS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BP14" i="7"/>
  <c r="BQ14" i="7"/>
  <c r="BR14" i="7"/>
  <c r="BS14" i="7"/>
  <c r="BT14" i="7"/>
  <c r="BU14" i="7"/>
  <c r="BP19" i="7"/>
  <c r="BP20" i="7" s="1"/>
  <c r="BQ19" i="7"/>
  <c r="BQ20" i="7" s="1"/>
  <c r="BR19" i="7"/>
  <c r="BR20" i="7" s="1"/>
  <c r="BS19" i="7"/>
  <c r="BS21" i="7" s="1"/>
  <c r="BT19" i="7"/>
  <c r="BT54" i="7" s="1"/>
  <c r="BU19" i="7"/>
  <c r="BU20" i="7" s="1"/>
  <c r="BV19" i="7"/>
  <c r="BV21" i="7" s="1"/>
  <c r="BW19" i="7"/>
  <c r="BW20" i="7" s="1"/>
  <c r="BX19" i="7"/>
  <c r="BX20" i="7" s="1"/>
  <c r="BY19" i="7"/>
  <c r="BY20" i="7" s="1"/>
  <c r="BZ19" i="7"/>
  <c r="BZ20" i="7" s="1"/>
  <c r="CA19" i="7"/>
  <c r="CA21" i="7" s="1"/>
  <c r="CB19" i="7"/>
  <c r="CB54" i="7" s="1"/>
  <c r="CC19" i="7"/>
  <c r="CC20" i="7" s="1"/>
  <c r="CD19" i="7"/>
  <c r="CD20" i="7" s="1"/>
  <c r="CE19" i="7"/>
  <c r="CE20" i="7" s="1"/>
  <c r="CF19" i="7"/>
  <c r="CF20" i="7" s="1"/>
  <c r="CG19" i="7"/>
  <c r="CG20" i="7" s="1"/>
  <c r="CH19" i="7"/>
  <c r="CH20" i="7" s="1"/>
  <c r="CI19" i="7"/>
  <c r="CJ19" i="7"/>
  <c r="CJ54" i="7" s="1"/>
  <c r="CK19" i="7"/>
  <c r="CK54" i="7" s="1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W55" i="7" l="1"/>
  <c r="CJ56" i="7"/>
  <c r="CJ55" i="7"/>
  <c r="CI21" i="7"/>
  <c r="CI54" i="7"/>
  <c r="CV55" i="7"/>
  <c r="CU55" i="7"/>
  <c r="CT55" i="7"/>
  <c r="CR56" i="7"/>
  <c r="CQ55" i="7"/>
  <c r="CP55" i="7"/>
  <c r="CO55" i="7"/>
  <c r="CM55" i="7"/>
  <c r="CN55" i="7"/>
  <c r="CH54" i="7"/>
  <c r="CH55" i="7" s="1"/>
  <c r="CG54" i="7"/>
  <c r="CG55" i="7" s="1"/>
  <c r="CF54" i="7"/>
  <c r="CF55" i="7" s="1"/>
  <c r="CE54" i="7"/>
  <c r="CE55" i="7" s="1"/>
  <c r="CC21" i="7"/>
  <c r="CD54" i="7"/>
  <c r="CD55" i="7" s="1"/>
  <c r="CC54" i="7"/>
  <c r="CC56" i="7" s="1"/>
  <c r="CA54" i="7"/>
  <c r="CA56" i="7" s="1"/>
  <c r="BZ54" i="7"/>
  <c r="BZ55" i="7" s="1"/>
  <c r="BY54" i="7"/>
  <c r="BY55" i="7" s="1"/>
  <c r="BW54" i="7"/>
  <c r="BW55" i="7" s="1"/>
  <c r="BU54" i="7"/>
  <c r="BU55" i="7" s="1"/>
  <c r="BV54" i="7"/>
  <c r="BV55" i="7" s="1"/>
  <c r="BS54" i="7"/>
  <c r="BS56" i="7" s="1"/>
  <c r="BR54" i="7"/>
  <c r="BR55" i="7" s="1"/>
  <c r="BQ54" i="7"/>
  <c r="BQ55" i="7" s="1"/>
  <c r="BX54" i="7"/>
  <c r="BX55" i="7" s="1"/>
  <c r="BP54" i="7"/>
  <c r="BP55" i="7" s="1"/>
  <c r="CG21" i="7"/>
  <c r="BY21" i="7"/>
  <c r="CJ20" i="7"/>
  <c r="BV20" i="7"/>
  <c r="BZ21" i="7"/>
  <c r="CL55" i="7"/>
  <c r="BQ21" i="7"/>
  <c r="CS55" i="7"/>
  <c r="CS56" i="7"/>
  <c r="CK21" i="7"/>
  <c r="CK20" i="7"/>
  <c r="BU21" i="7"/>
  <c r="BT21" i="7"/>
  <c r="CK55" i="7"/>
  <c r="CK56" i="7"/>
  <c r="CB55" i="7"/>
  <c r="CB56" i="7"/>
  <c r="BT55" i="7"/>
  <c r="BT56" i="7"/>
  <c r="CB21" i="7"/>
  <c r="CB20" i="7"/>
  <c r="CJ21" i="7"/>
  <c r="BT20" i="7"/>
  <c r="CH21" i="7"/>
  <c r="CL56" i="7"/>
  <c r="CD21" i="7"/>
  <c r="BR21" i="7"/>
  <c r="CF21" i="7"/>
  <c r="BX21" i="7"/>
  <c r="BP21" i="7"/>
  <c r="CI20" i="7"/>
  <c r="CA20" i="7"/>
  <c r="BS20" i="7"/>
  <c r="CE21" i="7"/>
  <c r="BW21" i="7"/>
  <c r="CW56" i="7" l="1"/>
  <c r="CI55" i="7"/>
  <c r="CI56" i="7"/>
  <c r="CO56" i="7"/>
  <c r="CM56" i="7"/>
  <c r="BZ56" i="7"/>
  <c r="CT56" i="7"/>
  <c r="CG56" i="7"/>
  <c r="CE56" i="7"/>
  <c r="CU56" i="7"/>
  <c r="BY56" i="7"/>
  <c r="BW56" i="7"/>
  <c r="CP56" i="7"/>
  <c r="CR55" i="7"/>
  <c r="CH56" i="7"/>
  <c r="CC55" i="7"/>
  <c r="BS55" i="7"/>
  <c r="BR56" i="7"/>
  <c r="BQ56" i="7"/>
  <c r="CQ56" i="7"/>
  <c r="CA55" i="7"/>
  <c r="BU56" i="7"/>
  <c r="BV56" i="7"/>
  <c r="BX56" i="7"/>
  <c r="CF56" i="7"/>
  <c r="CN56" i="7"/>
  <c r="CV56" i="7"/>
  <c r="CD56" i="7"/>
  <c r="BP56" i="7"/>
  <c r="BO6" i="2" l="1"/>
  <c r="BO7" i="2"/>
  <c r="BC6" i="2"/>
  <c r="BD6" i="2"/>
  <c r="BE6" i="2"/>
  <c r="BF6" i="2"/>
  <c r="BG6" i="2"/>
  <c r="BH6" i="2"/>
  <c r="BI6" i="2"/>
  <c r="BJ6" i="2"/>
  <c r="BK6" i="2"/>
  <c r="BL6" i="2"/>
  <c r="BM6" i="2"/>
  <c r="BN6" i="2"/>
  <c r="BC7" i="2"/>
  <c r="BD7" i="2"/>
  <c r="BE7" i="2"/>
  <c r="BF7" i="2"/>
  <c r="BG7" i="2"/>
  <c r="BH7" i="2"/>
  <c r="BI7" i="2"/>
  <c r="BJ7" i="2"/>
  <c r="BK7" i="2"/>
  <c r="BL7" i="2"/>
  <c r="BM7" i="2"/>
  <c r="BN7" i="2"/>
  <c r="BN6" i="7" l="1"/>
  <c r="BO6" i="7"/>
  <c r="BN7" i="7"/>
  <c r="BO7" i="7"/>
  <c r="BN13" i="7"/>
  <c r="BO13" i="7"/>
  <c r="BN14" i="7"/>
  <c r="BO14" i="7"/>
  <c r="BN19" i="7"/>
  <c r="BO19" i="7"/>
  <c r="BN27" i="7"/>
  <c r="BO27" i="7"/>
  <c r="BN28" i="7"/>
  <c r="BO28" i="7"/>
  <c r="BH6" i="7"/>
  <c r="BI6" i="7"/>
  <c r="BJ6" i="7"/>
  <c r="BK6" i="7"/>
  <c r="BL6" i="7"/>
  <c r="BM6" i="7"/>
  <c r="BH7" i="7"/>
  <c r="BI7" i="7"/>
  <c r="BJ7" i="7"/>
  <c r="BK7" i="7"/>
  <c r="BL7" i="7"/>
  <c r="BM7" i="7"/>
  <c r="BH13" i="7"/>
  <c r="BI13" i="7"/>
  <c r="BJ13" i="7"/>
  <c r="BK13" i="7"/>
  <c r="BL13" i="7"/>
  <c r="BM13" i="7"/>
  <c r="BH14" i="7"/>
  <c r="BI14" i="7"/>
  <c r="BJ14" i="7"/>
  <c r="BK14" i="7"/>
  <c r="BL14" i="7"/>
  <c r="BM14" i="7"/>
  <c r="BH19" i="7"/>
  <c r="BH20" i="7" s="1"/>
  <c r="BI19" i="7"/>
  <c r="BJ19" i="7"/>
  <c r="BK19" i="7"/>
  <c r="BL19" i="7"/>
  <c r="BM19" i="7"/>
  <c r="BH27" i="7"/>
  <c r="BI27" i="7"/>
  <c r="BJ27" i="7"/>
  <c r="BK27" i="7"/>
  <c r="BL27" i="7"/>
  <c r="BM27" i="7"/>
  <c r="BH28" i="7"/>
  <c r="BI28" i="7"/>
  <c r="BJ28" i="7"/>
  <c r="BK28" i="7"/>
  <c r="BL28" i="7"/>
  <c r="BM28" i="7"/>
  <c r="BH51" i="7"/>
  <c r="BH52" i="7"/>
  <c r="BH53" i="7"/>
  <c r="BC6" i="7"/>
  <c r="BD6" i="7"/>
  <c r="BE6" i="7"/>
  <c r="BF6" i="7"/>
  <c r="BG6" i="7"/>
  <c r="BC7" i="7"/>
  <c r="BD7" i="7"/>
  <c r="BE7" i="7"/>
  <c r="BF7" i="7"/>
  <c r="BG7" i="7"/>
  <c r="BC13" i="7"/>
  <c r="BD13" i="7"/>
  <c r="BE13" i="7"/>
  <c r="BF13" i="7"/>
  <c r="BG13" i="7"/>
  <c r="BC14" i="7"/>
  <c r="BD14" i="7"/>
  <c r="BE14" i="7"/>
  <c r="BF14" i="7"/>
  <c r="BG14" i="7"/>
  <c r="BC19" i="7"/>
  <c r="BC21" i="7" s="1"/>
  <c r="BD19" i="7"/>
  <c r="BD20" i="7" s="1"/>
  <c r="BE19" i="7"/>
  <c r="BE21" i="7" s="1"/>
  <c r="BF19" i="7"/>
  <c r="BF20" i="7" s="1"/>
  <c r="BG19" i="7"/>
  <c r="BG20" i="7" s="1"/>
  <c r="BC27" i="7"/>
  <c r="BD27" i="7"/>
  <c r="BE27" i="7"/>
  <c r="BF27" i="7"/>
  <c r="BG27" i="7"/>
  <c r="BC28" i="7"/>
  <c r="BD28" i="7"/>
  <c r="BE28" i="7"/>
  <c r="BF28" i="7"/>
  <c r="BG28" i="7"/>
  <c r="BC51" i="7"/>
  <c r="BD51" i="7"/>
  <c r="BE51" i="7"/>
  <c r="BF51" i="7"/>
  <c r="BG51" i="7"/>
  <c r="BC52" i="7"/>
  <c r="BD52" i="7"/>
  <c r="BE52" i="7"/>
  <c r="BF52" i="7"/>
  <c r="BG52" i="7"/>
  <c r="BC53" i="7"/>
  <c r="BD53" i="7"/>
  <c r="BE53" i="7"/>
  <c r="BF53" i="7"/>
  <c r="BG53" i="7"/>
  <c r="BC59" i="7"/>
  <c r="BC60" i="7" s="1"/>
  <c r="BD59" i="7"/>
  <c r="BD60" i="7" s="1"/>
  <c r="BE59" i="7"/>
  <c r="BE60" i="7" s="1"/>
  <c r="BF59" i="7"/>
  <c r="BF60" i="7" s="1"/>
  <c r="BG59" i="7"/>
  <c r="BG60" i="7" s="1"/>
  <c r="BM20" i="7" l="1"/>
  <c r="BM54" i="7"/>
  <c r="BM55" i="7" s="1"/>
  <c r="BL21" i="7"/>
  <c r="BL54" i="7"/>
  <c r="BL55" i="7" s="1"/>
  <c r="BI21" i="7"/>
  <c r="BI54" i="7"/>
  <c r="BI55" i="7" s="1"/>
  <c r="BK20" i="7"/>
  <c r="BK54" i="7"/>
  <c r="BK55" i="7" s="1"/>
  <c r="BO20" i="7"/>
  <c r="BO54" i="7"/>
  <c r="BO55" i="7" s="1"/>
  <c r="BJ21" i="7"/>
  <c r="BJ54" i="7"/>
  <c r="BJ55" i="7" s="1"/>
  <c r="BN20" i="7"/>
  <c r="BN54" i="7"/>
  <c r="BN56" i="7" s="1"/>
  <c r="BH54" i="7"/>
  <c r="BH55" i="7" s="1"/>
  <c r="BH21" i="7"/>
  <c r="BG21" i="7"/>
  <c r="BF54" i="7"/>
  <c r="BF55" i="7" s="1"/>
  <c r="BI20" i="7"/>
  <c r="BG54" i="7"/>
  <c r="BG55" i="7" s="1"/>
  <c r="BM21" i="7"/>
  <c r="BD54" i="7"/>
  <c r="BD55" i="7" s="1"/>
  <c r="BF21" i="7"/>
  <c r="BO21" i="7"/>
  <c r="BD21" i="7"/>
  <c r="BK21" i="7"/>
  <c r="BE20" i="7"/>
  <c r="BL20" i="7"/>
  <c r="BC54" i="7"/>
  <c r="BC55" i="7" s="1"/>
  <c r="BC20" i="7"/>
  <c r="BJ20" i="7"/>
  <c r="BE54" i="7"/>
  <c r="BN21" i="7"/>
  <c r="BO56" i="7" l="1"/>
  <c r="BK56" i="7"/>
  <c r="BN55" i="7"/>
  <c r="BH56" i="7"/>
  <c r="BF56" i="7"/>
  <c r="BG56" i="7"/>
  <c r="BM56" i="7"/>
  <c r="BI56" i="7"/>
  <c r="BD56" i="7"/>
  <c r="BL56" i="7"/>
  <c r="BC56" i="7"/>
  <c r="BE55" i="7"/>
  <c r="BE56" i="7"/>
  <c r="BJ56" i="7"/>
  <c r="AU59" i="7"/>
  <c r="AV59" i="7"/>
  <c r="AW59" i="7"/>
  <c r="AX59" i="7"/>
  <c r="AY59" i="7"/>
  <c r="AZ59" i="7"/>
  <c r="BA59" i="7"/>
  <c r="BB59" i="7"/>
  <c r="AT59" i="7"/>
  <c r="BB60" i="7" l="1"/>
  <c r="AM7" i="2" l="1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AM19" i="7"/>
  <c r="AM20" i="7" s="1"/>
  <c r="AN19" i="7"/>
  <c r="AN21" i="7" s="1"/>
  <c r="AO19" i="7"/>
  <c r="AO20" i="7" s="1"/>
  <c r="AP19" i="7"/>
  <c r="AP21" i="7" s="1"/>
  <c r="AQ19" i="7"/>
  <c r="AQ20" i="7" s="1"/>
  <c r="AR19" i="7"/>
  <c r="AR20" i="7" s="1"/>
  <c r="AS19" i="7"/>
  <c r="AS21" i="7" s="1"/>
  <c r="AT19" i="7"/>
  <c r="AT21" i="7" s="1"/>
  <c r="AU19" i="7"/>
  <c r="AU21" i="7" s="1"/>
  <c r="AV19" i="7"/>
  <c r="AV20" i="7" s="1"/>
  <c r="AW19" i="7"/>
  <c r="AW20" i="7" s="1"/>
  <c r="AX19" i="7"/>
  <c r="AX21" i="7" s="1"/>
  <c r="AY19" i="7"/>
  <c r="AY20" i="7" s="1"/>
  <c r="AZ19" i="7"/>
  <c r="AZ20" i="7" s="1"/>
  <c r="BA19" i="7"/>
  <c r="BA20" i="7" s="1"/>
  <c r="AV21" i="7" l="1"/>
  <c r="AM21" i="7"/>
  <c r="AY21" i="7"/>
  <c r="AX20" i="7"/>
  <c r="AZ21" i="7"/>
  <c r="AW21" i="7"/>
  <c r="AR21" i="7"/>
  <c r="AQ21" i="7"/>
  <c r="AP20" i="7"/>
  <c r="BA21" i="7"/>
  <c r="AU20" i="7"/>
  <c r="AO21" i="7"/>
  <c r="AS20" i="7"/>
  <c r="AN20" i="7"/>
  <c r="AT20" i="7"/>
  <c r="AG59" i="7" l="1"/>
  <c r="AG60" i="7" s="1"/>
  <c r="AH59" i="7"/>
  <c r="AI59" i="7"/>
  <c r="AJ59" i="7"/>
  <c r="AK59" i="7"/>
  <c r="AL59" i="7"/>
  <c r="AL60" i="7" s="1"/>
  <c r="AM59" i="7"/>
  <c r="AM60" i="7" s="1"/>
  <c r="AN59" i="7"/>
  <c r="AN60" i="7" s="1"/>
  <c r="AO59" i="7"/>
  <c r="AO60" i="7" s="1"/>
  <c r="AP59" i="7"/>
  <c r="AQ59" i="7"/>
  <c r="AQ60" i="7" s="1"/>
  <c r="AR59" i="7"/>
  <c r="AR60" i="7" s="1"/>
  <c r="AS59" i="7"/>
  <c r="AS60" i="7" s="1"/>
  <c r="AT60" i="7"/>
  <c r="AU60" i="7"/>
  <c r="AV60" i="7"/>
  <c r="AW60" i="7"/>
  <c r="AY60" i="7"/>
  <c r="BA60" i="7"/>
  <c r="AH60" i="7"/>
  <c r="AI60" i="7"/>
  <c r="AJ60" i="7"/>
  <c r="AK60" i="7"/>
  <c r="AP60" i="7"/>
  <c r="AX60" i="7"/>
  <c r="AZ60" i="7"/>
  <c r="AK13" i="7"/>
  <c r="AL13" i="7"/>
  <c r="BB13" i="7"/>
  <c r="AK14" i="7"/>
  <c r="AL14" i="7"/>
  <c r="BB14" i="7"/>
  <c r="AK19" i="7"/>
  <c r="AK20" i="7" s="1"/>
  <c r="AL19" i="7"/>
  <c r="AL21" i="7" s="1"/>
  <c r="BB19" i="7"/>
  <c r="BB21" i="7" s="1"/>
  <c r="AL20" i="7"/>
  <c r="AK21" i="7" l="1"/>
  <c r="AL54" i="7"/>
  <c r="BB20" i="7"/>
  <c r="BB6" i="2"/>
  <c r="BB7" i="2"/>
  <c r="AX6" i="2"/>
  <c r="AY6" i="2"/>
  <c r="AZ6" i="2"/>
  <c r="BA6" i="2"/>
  <c r="AX7" i="2"/>
  <c r="AY7" i="2"/>
  <c r="AZ7" i="2"/>
  <c r="BA7" i="2"/>
  <c r="BB6" i="7"/>
  <c r="BB7" i="7"/>
  <c r="BB27" i="7"/>
  <c r="BB28" i="7"/>
  <c r="BB51" i="7"/>
  <c r="BB52" i="7"/>
  <c r="BB53" i="7"/>
  <c r="BB54" i="7"/>
  <c r="BA6" i="7"/>
  <c r="BA7" i="7"/>
  <c r="BA27" i="7"/>
  <c r="BA28" i="7"/>
  <c r="BA51" i="7"/>
  <c r="BA52" i="7"/>
  <c r="BA53" i="7"/>
  <c r="AX6" i="7"/>
  <c r="AY6" i="7"/>
  <c r="AZ6" i="7"/>
  <c r="AX7" i="7"/>
  <c r="AY7" i="7"/>
  <c r="AZ7" i="7"/>
  <c r="AX27" i="7"/>
  <c r="AY27" i="7"/>
  <c r="AZ27" i="7"/>
  <c r="AX28" i="7"/>
  <c r="AY28" i="7"/>
  <c r="AZ28" i="7"/>
  <c r="AX51" i="7"/>
  <c r="AY51" i="7"/>
  <c r="AZ51" i="7"/>
  <c r="AX52" i="7"/>
  <c r="AY52" i="7"/>
  <c r="AZ52" i="7"/>
  <c r="AX53" i="7"/>
  <c r="AY53" i="7"/>
  <c r="AZ53" i="7"/>
  <c r="AZ54" i="7"/>
  <c r="AZ56" i="7" l="1"/>
  <c r="AZ55" i="7"/>
  <c r="BB55" i="7"/>
  <c r="BB56" i="7"/>
  <c r="AY54" i="7"/>
  <c r="AY56" i="7" s="1"/>
  <c r="AX54" i="7"/>
  <c r="AX56" i="7" s="1"/>
  <c r="BA54" i="7"/>
  <c r="BA55" i="7" s="1"/>
  <c r="AU2" i="2"/>
  <c r="AV2" i="2" s="1"/>
  <c r="AX55" i="7" l="1"/>
  <c r="AY55" i="7"/>
  <c r="BA56" i="7"/>
  <c r="AD19" i="7" l="1"/>
  <c r="AE19" i="7"/>
  <c r="AF19" i="7"/>
  <c r="AG19" i="7"/>
  <c r="AH19" i="7"/>
  <c r="AI19" i="7"/>
  <c r="AJ19" i="7"/>
  <c r="AC19" i="7"/>
  <c r="AC7" i="2" l="1"/>
  <c r="AD7" i="2"/>
  <c r="AE7" i="2"/>
  <c r="AF7" i="2"/>
  <c r="AG7" i="2"/>
  <c r="AH7" i="2"/>
  <c r="AI7" i="2"/>
  <c r="AJ7" i="2"/>
  <c r="AK7" i="2"/>
  <c r="AL7" i="2"/>
  <c r="AN7" i="2"/>
  <c r="AO7" i="2"/>
  <c r="AP7" i="2"/>
  <c r="AQ7" i="2"/>
  <c r="AR7" i="2"/>
  <c r="AB7" i="2"/>
  <c r="AC14" i="7"/>
  <c r="AD14" i="7"/>
  <c r="AE14" i="7"/>
  <c r="AF14" i="7"/>
  <c r="AG14" i="7"/>
  <c r="AH14" i="7"/>
  <c r="AI14" i="7"/>
  <c r="AJ14" i="7"/>
  <c r="AB6" i="7" l="1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B7" i="7"/>
  <c r="X6" i="7"/>
  <c r="Y6" i="7"/>
  <c r="Z6" i="7"/>
  <c r="AA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X7" i="7"/>
  <c r="Y7" i="7"/>
  <c r="Z7" i="7"/>
  <c r="AA7" i="7"/>
  <c r="AS7" i="7"/>
  <c r="AT7" i="7"/>
  <c r="AU7" i="7"/>
  <c r="AV7" i="7"/>
  <c r="AW7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X53" i="7"/>
  <c r="AN51" i="7" l="1"/>
  <c r="AO51" i="7"/>
  <c r="AP51" i="7"/>
  <c r="AQ51" i="7"/>
  <c r="AR51" i="7"/>
  <c r="AS51" i="7"/>
  <c r="AT51" i="7"/>
  <c r="AU51" i="7"/>
  <c r="AV51" i="7"/>
  <c r="AW51" i="7"/>
  <c r="AN52" i="7"/>
  <c r="AO52" i="7"/>
  <c r="AP52" i="7"/>
  <c r="AQ52" i="7"/>
  <c r="AR52" i="7"/>
  <c r="AS52" i="7"/>
  <c r="AT52" i="7"/>
  <c r="AU52" i="7"/>
  <c r="AV52" i="7"/>
  <c r="AW52" i="7"/>
  <c r="AN54" i="7"/>
  <c r="AO54" i="7"/>
  <c r="AP54" i="7"/>
  <c r="AQ54" i="7"/>
  <c r="AR54" i="7"/>
  <c r="AS54" i="7"/>
  <c r="AT54" i="7"/>
  <c r="AU54" i="7"/>
  <c r="AV54" i="7"/>
  <c r="AW54" i="7"/>
  <c r="AM51" i="7"/>
  <c r="AM52" i="7"/>
  <c r="AM54" i="7"/>
  <c r="AL51" i="7" l="1"/>
  <c r="AL52" i="7"/>
  <c r="AK51" i="7" l="1"/>
  <c r="AK52" i="7"/>
  <c r="AK54" i="7"/>
  <c r="V59" i="7"/>
  <c r="V60" i="7" s="1"/>
  <c r="W59" i="7"/>
  <c r="W60" i="7" s="1"/>
  <c r="X59" i="7"/>
  <c r="X60" i="7" s="1"/>
  <c r="Y59" i="7"/>
  <c r="Y60" i="7" s="1"/>
  <c r="Z59" i="7"/>
  <c r="Z60" i="7" s="1"/>
  <c r="AA59" i="7"/>
  <c r="AA60" i="7" s="1"/>
  <c r="AB59" i="7"/>
  <c r="AB60" i="7" s="1"/>
  <c r="AC59" i="7"/>
  <c r="AC60" i="7" s="1"/>
  <c r="AD59" i="7"/>
  <c r="AD60" i="7" s="1"/>
  <c r="AE59" i="7"/>
  <c r="AE60" i="7" s="1"/>
  <c r="AF59" i="7"/>
  <c r="AF60" i="7" s="1"/>
  <c r="U59" i="7"/>
  <c r="U60" i="7" s="1"/>
  <c r="F51" i="7" l="1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E54" i="7"/>
  <c r="AP55" i="7" l="1"/>
  <c r="AP56" i="7"/>
  <c r="AR56" i="7"/>
  <c r="N55" i="7"/>
  <c r="L56" i="7"/>
  <c r="Z56" i="7"/>
  <c r="AH56" i="7"/>
  <c r="AJ56" i="7"/>
  <c r="AQ56" i="7"/>
  <c r="F56" i="7"/>
  <c r="G55" i="7"/>
  <c r="H56" i="7"/>
  <c r="I55" i="7"/>
  <c r="M56" i="7"/>
  <c r="N56" i="7"/>
  <c r="O55" i="7"/>
  <c r="P56" i="7"/>
  <c r="Q55" i="7"/>
  <c r="R55" i="7"/>
  <c r="T55" i="7"/>
  <c r="W55" i="7"/>
  <c r="Y55" i="7"/>
  <c r="AC55" i="7"/>
  <c r="AD56" i="7"/>
  <c r="AE55" i="7"/>
  <c r="AG56" i="7"/>
  <c r="AJ55" i="7"/>
  <c r="AK56" i="7"/>
  <c r="AL56" i="7"/>
  <c r="AM56" i="7"/>
  <c r="AN56" i="7"/>
  <c r="AO56" i="7"/>
  <c r="AQ55" i="7"/>
  <c r="AR55" i="7"/>
  <c r="AS56" i="7"/>
  <c r="AT56" i="7"/>
  <c r="AU55" i="7"/>
  <c r="AV56" i="7"/>
  <c r="AW56" i="7"/>
  <c r="J56" i="7"/>
  <c r="G56" i="7"/>
  <c r="AH55" i="7"/>
  <c r="AB55" i="7"/>
  <c r="Z55" i="7"/>
  <c r="M55" i="7"/>
  <c r="L55" i="7"/>
  <c r="J55" i="7"/>
  <c r="P27" i="7"/>
  <c r="P28" i="7"/>
  <c r="V56" i="7" l="1"/>
  <c r="AF56" i="7"/>
  <c r="X55" i="7"/>
  <c r="AW55" i="7"/>
  <c r="AO55" i="7"/>
  <c r="AV55" i="7"/>
  <c r="AN55" i="7"/>
  <c r="AM55" i="7"/>
  <c r="I56" i="7"/>
  <c r="AT55" i="7"/>
  <c r="AL55" i="7"/>
  <c r="AU56" i="7"/>
  <c r="AS55" i="7"/>
  <c r="AK55" i="7"/>
  <c r="F55" i="7"/>
  <c r="AA55" i="7"/>
  <c r="S55" i="7"/>
  <c r="K55" i="7"/>
  <c r="O56" i="7"/>
  <c r="AE56" i="7"/>
  <c r="AI56" i="7"/>
  <c r="Y56" i="7"/>
  <c r="AG55" i="7"/>
  <c r="U56" i="7"/>
  <c r="AC56" i="7"/>
  <c r="R56" i="7"/>
  <c r="U55" i="7"/>
  <c r="W56" i="7"/>
  <c r="Q56" i="7"/>
  <c r="AD55" i="7"/>
  <c r="AI55" i="7"/>
  <c r="AB56" i="7"/>
  <c r="T56" i="7"/>
  <c r="V55" i="7"/>
  <c r="X56" i="7"/>
  <c r="H55" i="7"/>
  <c r="P55" i="7"/>
  <c r="AF55" i="7"/>
  <c r="K56" i="7"/>
  <c r="S56" i="7"/>
  <c r="AA56" i="7"/>
  <c r="E55" i="7"/>
  <c r="E56" i="7"/>
  <c r="AW7" i="2"/>
  <c r="AV7" i="2"/>
  <c r="AU7" i="2"/>
  <c r="AT7" i="2"/>
  <c r="AS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AW28" i="7" l="1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O28" i="7"/>
  <c r="N28" i="7"/>
  <c r="M28" i="7"/>
  <c r="L28" i="7"/>
  <c r="K28" i="7"/>
  <c r="J28" i="7"/>
  <c r="I28" i="7"/>
  <c r="H28" i="7"/>
  <c r="G28" i="7"/>
  <c r="F28" i="7"/>
  <c r="E28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O27" i="7"/>
  <c r="N27" i="7"/>
  <c r="M27" i="7"/>
  <c r="L27" i="7"/>
  <c r="K27" i="7"/>
  <c r="J27" i="7"/>
  <c r="I27" i="7"/>
  <c r="H27" i="7"/>
  <c r="G27" i="7"/>
  <c r="F27" i="7"/>
  <c r="E27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I20" i="7"/>
  <c r="H20" i="7"/>
  <c r="G20" i="7"/>
  <c r="F20" i="7"/>
  <c r="E20" i="7"/>
  <c r="J20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U14" i="7"/>
  <c r="V14" i="7"/>
  <c r="W14" i="7"/>
  <c r="X14" i="7"/>
  <c r="Y14" i="7"/>
  <c r="Z14" i="7"/>
  <c r="AA14" i="7"/>
  <c r="AB14" i="7"/>
  <c r="U6" i="7"/>
  <c r="V6" i="7"/>
  <c r="W6" i="7"/>
  <c r="AR6" i="7"/>
  <c r="AS6" i="7"/>
  <c r="AT6" i="7"/>
  <c r="AU6" i="7"/>
  <c r="AV6" i="7"/>
  <c r="AW6" i="7"/>
  <c r="U7" i="7"/>
  <c r="V7" i="7"/>
  <c r="W7" i="7"/>
  <c r="T14" i="7"/>
  <c r="S14" i="7"/>
  <c r="R14" i="7"/>
  <c r="Q14" i="7"/>
  <c r="P14" i="7"/>
  <c r="O14" i="7"/>
  <c r="N14" i="7"/>
  <c r="M14" i="7"/>
  <c r="L14" i="7"/>
  <c r="K14" i="7"/>
  <c r="I14" i="7"/>
  <c r="H14" i="7"/>
  <c r="G14" i="7"/>
  <c r="F14" i="7"/>
  <c r="E14" i="7"/>
  <c r="T13" i="7"/>
  <c r="S13" i="7"/>
  <c r="R13" i="7"/>
  <c r="Q13" i="7"/>
  <c r="P13" i="7"/>
  <c r="O13" i="7"/>
  <c r="N13" i="7"/>
  <c r="M13" i="7"/>
  <c r="L13" i="7"/>
  <c r="K13" i="7"/>
  <c r="I13" i="7"/>
  <c r="H13" i="7"/>
  <c r="G13" i="7"/>
  <c r="F13" i="7"/>
  <c r="E13" i="7"/>
  <c r="J14" i="7"/>
  <c r="Q7" i="7"/>
  <c r="T6" i="7"/>
  <c r="S6" i="7"/>
  <c r="P6" i="7"/>
  <c r="O6" i="7"/>
  <c r="L6" i="7"/>
  <c r="K6" i="7"/>
  <c r="T7" i="7"/>
  <c r="S7" i="7"/>
  <c r="R6" i="7"/>
  <c r="Q6" i="7"/>
  <c r="P7" i="7"/>
  <c r="O7" i="7"/>
  <c r="N6" i="7"/>
  <c r="M6" i="7"/>
  <c r="L7" i="7"/>
  <c r="K7" i="7"/>
  <c r="J6" i="7"/>
  <c r="I7" i="7"/>
  <c r="H7" i="7"/>
  <c r="G7" i="7"/>
  <c r="F7" i="7"/>
  <c r="E6" i="7"/>
  <c r="R31" i="1"/>
  <c r="Q31" i="1"/>
  <c r="P31" i="1"/>
  <c r="O31" i="1"/>
  <c r="N31" i="1"/>
  <c r="N32" i="1" s="1"/>
  <c r="M31" i="1"/>
  <c r="M32" i="1" s="1"/>
  <c r="L31" i="1"/>
  <c r="K31" i="1"/>
  <c r="J31" i="1"/>
  <c r="I31" i="1"/>
  <c r="H31" i="1"/>
  <c r="G31" i="1"/>
  <c r="F31" i="1"/>
  <c r="F32" i="1" s="1"/>
  <c r="E31" i="1"/>
  <c r="E32" i="1" s="1"/>
  <c r="D31" i="1"/>
  <c r="D32" i="1" s="1"/>
  <c r="C31" i="1"/>
  <c r="D30" i="1"/>
  <c r="E30" i="1"/>
  <c r="F30" i="1"/>
  <c r="G30" i="1"/>
  <c r="H30" i="1"/>
  <c r="H32" i="1" s="1"/>
  <c r="I30" i="1"/>
  <c r="J30" i="1"/>
  <c r="K30" i="1"/>
  <c r="L30" i="1"/>
  <c r="M30" i="1"/>
  <c r="N30" i="1"/>
  <c r="O30" i="1"/>
  <c r="P30" i="1"/>
  <c r="P32" i="1" s="1"/>
  <c r="Q30" i="1"/>
  <c r="R30" i="1"/>
  <c r="R32" i="1" s="1"/>
  <c r="C30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J32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C26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C22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C18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14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C10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C2" i="1"/>
  <c r="G32" i="1" l="1"/>
  <c r="O32" i="1"/>
  <c r="K32" i="1"/>
  <c r="L32" i="1"/>
  <c r="J13" i="7"/>
  <c r="N7" i="7"/>
  <c r="R7" i="7"/>
  <c r="M7" i="7"/>
  <c r="J7" i="7"/>
  <c r="E7" i="7"/>
  <c r="F6" i="7"/>
  <c r="G6" i="7"/>
  <c r="I6" i="7"/>
  <c r="H6" i="7"/>
  <c r="I32" i="1"/>
  <c r="Q32" i="1"/>
  <c r="C32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R24" i="1" l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F1" i="7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l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12" i="1" l="1"/>
  <c r="Q12" i="1"/>
  <c r="P12" i="1"/>
  <c r="O12" i="1"/>
  <c r="N12" i="1"/>
  <c r="M12" i="1"/>
  <c r="L12" i="1"/>
  <c r="K12" i="1"/>
  <c r="R8" i="1"/>
  <c r="Q8" i="1"/>
  <c r="P8" i="1"/>
  <c r="O8" i="1"/>
  <c r="N8" i="1"/>
  <c r="M8" i="1"/>
  <c r="L8" i="1"/>
  <c r="K8" i="1"/>
  <c r="R4" i="1"/>
  <c r="Q4" i="1"/>
  <c r="P4" i="1"/>
  <c r="O4" i="1"/>
  <c r="N4" i="1"/>
  <c r="M4" i="1"/>
  <c r="L4" i="1"/>
  <c r="K4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J12" i="1" l="1"/>
  <c r="I12" i="1"/>
  <c r="H12" i="1"/>
  <c r="G12" i="1"/>
  <c r="F12" i="1"/>
  <c r="E12" i="1"/>
  <c r="D12" i="1"/>
  <c r="C12" i="1"/>
  <c r="J8" i="1"/>
  <c r="I8" i="1"/>
  <c r="H8" i="1"/>
  <c r="G8" i="1"/>
  <c r="F8" i="1"/>
  <c r="E8" i="1"/>
  <c r="D8" i="1"/>
  <c r="C8" i="1"/>
  <c r="J4" i="1"/>
  <c r="I4" i="1"/>
  <c r="H4" i="1"/>
  <c r="G4" i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tc={A481ACDE-ABEB-423C-B217-26A26544FC6C}</author>
    <author>tc={F83732F5-24F3-4FFE-B8ED-552EDE604E6F}</author>
    <author>tc={943BC726-40DE-4B5A-AB4F-F146A8EC0FE1}</author>
    <author>tc={703A9F61-02D9-4BD3-AC7F-180B25659F4E}</author>
    <author>tc={E10F76F9-5C82-4F02-9D88-3538F3BB18A0}</author>
    <author>tc={E92B40F0-5E43-404A-AFDD-A47B3842F80F}</author>
    <author>tc={CFC05C92-E3E1-4B30-AB98-3F5B5F73A691}</author>
    <author>tc={7CC0C3FE-7466-4276-A5EA-10ADAD1C4C74}</author>
    <author>tc={18D4BE8D-2EFB-4133-A379-2A983592DE07}</author>
    <author>tc={246E8ECA-55A3-4168-8D04-636CB17A8C9D}</author>
  </authors>
  <commentList>
    <comment ref="D4" authorId="0" shapeId="0" xr:uid="{A481ACDE-ABEB-423C-B217-26A26544FC6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F83732F5-24F3-4FFE-B8ED-552EDE604E6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943BC726-40DE-4B5A-AB4F-F146A8EC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703A9F61-02D9-4BD3-AC7F-180B25659F4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E10F76F9-5C82-4F02-9D88-3538F3BB18A0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E92B40F0-5E43-404A-AFDD-A47B3842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CFC05C92-E3E1-4B30-AB98-3F5B5F73A69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7CC0C3FE-7466-4276-A5EA-10ADAD1C4C74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18D4BE8D-2EFB-4133-A379-2A983592DE0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246E8ECA-55A3-4168-8D04-636CB17A8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tc={BB6F9F33-2E07-4F96-B94E-CAA9809C8F48}</author>
    <author>tc={2EFD99BB-3450-4678-AFD6-FF335ED5853C}</author>
  </authors>
  <commentList>
    <comment ref="D4" authorId="0" shapeId="0" xr:uid="{BB6F9F33-2E07-4F96-B94E-CAA9809C8F4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2EFD99BB-3450-4678-AFD6-FF335ED5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tc={5CE5AA09-1BFE-4532-B525-AE71BDFBC916}</author>
    <author>tc={6DD0E383-7CCC-4C77-8DF1-42B42CE64D11}</author>
    <author>tc={E43087D6-8175-4C04-90D4-BAC9E37415FD}</author>
    <author>tc={0415C12C-1B47-4E3E-8780-182F42EE2223}</author>
    <author>tc={A07EAB0E-BC46-4ADC-9613-00EF3047534F}</author>
    <author>tc={D16CC049-CD25-4303-AFF6-1AE635690CB8}</author>
    <author>tc={ED19E19C-1CBF-4FE4-A38E-0A885DCC8FCA}</author>
    <author>tc={8A03F715-92A3-4A70-812A-88617B284C21}</author>
    <author>tc={15894F79-091A-42D5-BED5-9226F24F405E}</author>
    <author>tc={85679D6E-A754-44A4-A1C0-93A82CAD628E}</author>
  </authors>
  <commentList>
    <comment ref="D4" authorId="0" shapeId="0" xr:uid="{5CE5AA09-1BFE-4532-B525-AE71BDFBC916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6DD0E383-7CCC-4C77-8DF1-42B42CE64D11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E43087D6-8175-4C04-90D4-BAC9E37415FD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0415C12C-1B47-4E3E-8780-182F42EE222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A07EAB0E-BC46-4ADC-9613-00EF3047534F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D16CC049-CD25-4303-AFF6-1AE63569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ED19E19C-1CBF-4FE4-A38E-0A885DCC8FCA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8A03F715-92A3-4A70-812A-88617B28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15894F79-091A-42D5-BED5-9226F24F40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85679D6E-A754-44A4-A1C0-93A82CAD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tc={B93737F6-C0BE-4DA1-9B8C-3E3017158F49}</author>
    <author>tc={44E27C8E-9DE7-4270-B05A-7DAFF37AA939}</author>
    <author>tc={3590C3BC-EB93-44B0-91CD-4E360E3ABB71}</author>
    <author>tc={F0C39E0F-FDBB-4A0A-ACC3-C4BDAE327B4E}</author>
    <author>tc={C68517F7-9D0D-472D-AF89-FF58408E922C}</author>
    <author>tc={1255BA4F-E9B1-4CD7-8E94-47554E5EAE32}</author>
    <author>tc={EF7464B4-3C2A-4102-96FD-71820B4ED992}</author>
    <author>tc={EDF8DB41-03FB-4068-96A1-333058DB7406}</author>
    <author>tc={7F6E87FA-2A9D-4189-BCCC-E0BBE9DD57F2}</author>
    <author>tc={BD57C614-B06A-4E80-9516-52735246AF74}</author>
  </authors>
  <commentList>
    <comment ref="D4" authorId="0" shapeId="0" xr:uid="{B93737F6-C0BE-4DA1-9B8C-3E3017158F4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44E27C8E-9DE7-4270-B05A-7DAFF37AA93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3590C3BC-EB93-44B0-91CD-4E360E3ABB7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F0C39E0F-FDBB-4A0A-ACC3-C4BDAE327B4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C68517F7-9D0D-472D-AF89-FF58408E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1255BA4F-E9B1-4CD7-8E94-47554E5EAE32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EF7464B4-3C2A-4102-96FD-71820B4ED99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EDF8DB41-03FB-4068-96A1-333058DB740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7F6E87FA-2A9D-4189-BCCC-E0BBE9DD57F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BD57C614-B06A-4E80-9516-52735246AF74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sharedStrings.xml><?xml version="1.0" encoding="utf-8"?>
<sst xmlns="http://schemas.openxmlformats.org/spreadsheetml/2006/main" count="241" uniqueCount="48">
  <si>
    <t>Site</t>
  </si>
  <si>
    <t>Comments</t>
  </si>
  <si>
    <t>Canada</t>
  </si>
  <si>
    <t>Client Requirement</t>
  </si>
  <si>
    <t>Projected FTE</t>
  </si>
  <si>
    <t>Staffing%</t>
  </si>
  <si>
    <t>Columbia</t>
  </si>
  <si>
    <t>Egypt</t>
  </si>
  <si>
    <t>Philippines</t>
  </si>
  <si>
    <t>India</t>
  </si>
  <si>
    <t>US</t>
  </si>
  <si>
    <t>Mexico</t>
  </si>
  <si>
    <t>Jamaica</t>
  </si>
  <si>
    <t>Budget</t>
  </si>
  <si>
    <t>Forecast</t>
  </si>
  <si>
    <t>Projected</t>
  </si>
  <si>
    <t>Budget Vs Actual</t>
  </si>
  <si>
    <t>Forecast Vs Actual</t>
  </si>
  <si>
    <t>Entergy</t>
  </si>
  <si>
    <t>DoorDash USA</t>
  </si>
  <si>
    <t>Liberty Utilities</t>
  </si>
  <si>
    <t>DoorDash Montreal</t>
  </si>
  <si>
    <t>Country</t>
  </si>
  <si>
    <t>USA</t>
  </si>
  <si>
    <t>Client Name</t>
  </si>
  <si>
    <t>H2R Department</t>
  </si>
  <si>
    <t>PNM</t>
  </si>
  <si>
    <t>USA TOTAL</t>
  </si>
  <si>
    <t>Required</t>
  </si>
  <si>
    <t>Cardio Care</t>
  </si>
  <si>
    <t>Just Energy</t>
  </si>
  <si>
    <t>Door Dash</t>
  </si>
  <si>
    <t>PNMR SERVICES COMPANY</t>
  </si>
  <si>
    <t>Entergy Services LLC</t>
  </si>
  <si>
    <t>HHCIP, LLC (CardioCare)</t>
  </si>
  <si>
    <t>Hard Rock Hotels and Casino</t>
  </si>
  <si>
    <t>Hard Rock</t>
  </si>
  <si>
    <t>CAA</t>
  </si>
  <si>
    <t>Canada Total Reporting to Mir</t>
  </si>
  <si>
    <t>Canada Mir Total</t>
  </si>
  <si>
    <t>Caillac Fairview</t>
  </si>
  <si>
    <t>Cadillac</t>
  </si>
  <si>
    <t>Columbia Mir Total</t>
  </si>
  <si>
    <t>Columbia Total Reporting to Mir</t>
  </si>
  <si>
    <t>ExactScience</t>
  </si>
  <si>
    <t>Colombia</t>
  </si>
  <si>
    <t>Phillipines Total Reporting to Mir</t>
  </si>
  <si>
    <t>Phillipines Mir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</si>
</sst>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9" fontId="3" fillId="5" borderId="4" xfId="1" applyFont="1" applyFill="1" applyBorder="1" applyAlignment="1">
      <alignment horizontal="center"/>
    </xf>
    <xf numFmtId="9" fontId="3" fillId="5" borderId="5" xfId="1" applyFont="1" applyFill="1" applyBorder="1" applyAlignment="1">
      <alignment horizontal="center"/>
    </xf>
    <xf numFmtId="9" fontId="3" fillId="5" borderId="14" xfId="1" applyFont="1" applyFill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1" fontId="3" fillId="3" borderId="1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5" fontId="2" fillId="7" borderId="11" xfId="0" applyNumberFormat="1" applyFont="1" applyFill="1" applyBorder="1" applyAlignment="1">
      <alignment horizontal="center"/>
    </xf>
    <xf numFmtId="15" fontId="2" fillId="7" borderId="12" xfId="0" applyNumberFormat="1" applyFont="1" applyFill="1" applyBorder="1" applyAlignment="1">
      <alignment horizontal="center"/>
    </xf>
    <xf numFmtId="15" fontId="2" fillId="2" borderId="18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3" fillId="3" borderId="18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9" fontId="2" fillId="8" borderId="18" xfId="1" applyFont="1" applyFill="1" applyBorder="1" applyAlignment="1">
      <alignment horizontal="center"/>
    </xf>
    <xf numFmtId="9" fontId="2" fillId="9" borderId="18" xfId="1" applyFont="1" applyFill="1" applyBorder="1" applyAlignment="1">
      <alignment horizontal="center"/>
    </xf>
    <xf numFmtId="1" fontId="3" fillId="4" borderId="18" xfId="0" applyNumberFormat="1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1" fontId="3" fillId="3" borderId="18" xfId="0" applyNumberFormat="1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18" xfId="0" applyFont="1" applyFill="1" applyBorder="1" applyAlignment="1">
      <alignment horizontal="center"/>
    </xf>
    <xf numFmtId="1" fontId="0" fillId="0" borderId="0" xfId="0" applyNumberFormat="1"/>
    <xf numFmtId="37" fontId="3" fillId="4" borderId="18" xfId="2" applyNumberFormat="1" applyFont="1" applyFill="1" applyBorder="1" applyAlignment="1">
      <alignment horizontal="center"/>
    </xf>
    <xf numFmtId="37" fontId="3" fillId="5" borderId="18" xfId="2" applyNumberFormat="1" applyFont="1" applyFill="1" applyBorder="1" applyAlignment="1">
      <alignment horizontal="center"/>
    </xf>
    <xf numFmtId="37" fontId="3" fillId="5" borderId="18" xfId="0" applyNumberFormat="1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1" fontId="6" fillId="4" borderId="18" xfId="0" applyNumberFormat="1" applyFont="1" applyFill="1" applyBorder="1" applyAlignment="1">
      <alignment horizontal="center"/>
    </xf>
    <xf numFmtId="1" fontId="6" fillId="5" borderId="18" xfId="0" applyNumberFormat="1" applyFont="1" applyFill="1" applyBorder="1" applyAlignment="1">
      <alignment horizontal="center"/>
    </xf>
    <xf numFmtId="1" fontId="7" fillId="4" borderId="18" xfId="0" applyNumberFormat="1" applyFont="1" applyFill="1" applyBorder="1" applyAlignment="1">
      <alignment horizontal="center"/>
    </xf>
    <xf numFmtId="1" fontId="7" fillId="5" borderId="18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anda Hendricks" id="{C0B933AA-081B-4752-BC75-F3B53C395F00}" userId="S::miranda.hendricks@CP-360.com::4e7e5501-c1e9-4b06-a7e3-7366e93252d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A481ACDE-ABEB-423C-B217-26A26544FC6C}">
    <text>With shrink</text>
  </threadedComment>
  <threadedComment ref="D5" dT="2024-07-30T23:33:48.37" personId="{C0B933AA-081B-4752-BC75-F3B53C395F00}" id="{F83732F5-24F3-4FFE-B8ED-552EDE604E6F}">
    <text>After attrition</text>
  </threadedComment>
  <threadedComment ref="D11" dT="2024-07-30T23:33:39.06" personId="{C0B933AA-081B-4752-BC75-F3B53C395F00}" id="{943BC726-40DE-4B5A-AB4F-F146A8EC0FE1}">
    <text>With shrink</text>
  </threadedComment>
  <threadedComment ref="D12" dT="2024-07-30T23:33:48.37" personId="{C0B933AA-081B-4752-BC75-F3B53C395F00}" id="{703A9F61-02D9-4BD3-AC7F-180B25659F4E}">
    <text>After attrition</text>
  </threadedComment>
  <threadedComment ref="D18" dT="2024-07-30T23:33:39.06" personId="{C0B933AA-081B-4752-BC75-F3B53C395F00}" id="{E10F76F9-5C82-4F02-9D88-3538F3BB18A0}">
    <text>With shrink</text>
  </threadedComment>
  <threadedComment ref="D19" dT="2024-07-30T23:33:48.37" personId="{C0B933AA-081B-4752-BC75-F3B53C395F00}" id="{E92B40F0-5E43-404A-AFDD-A47B3842F80F}">
    <text>After attrition</text>
  </threadedComment>
  <threadedComment ref="D25" dT="2024-07-30T23:33:39.06" personId="{C0B933AA-081B-4752-BC75-F3B53C395F00}" id="{CFC05C92-E3E1-4B30-AB98-3F5B5F73A691}">
    <text>With shrink</text>
  </threadedComment>
  <threadedComment ref="D26" dT="2024-07-30T23:33:48.37" personId="{C0B933AA-081B-4752-BC75-F3B53C395F00}" id="{7CC0C3FE-7466-4276-A5EA-10ADAD1C4C74}">
    <text>After attrition</text>
  </threadedComment>
  <threadedComment ref="D32" dT="2024-07-30T23:33:39.06" personId="{C0B933AA-081B-4752-BC75-F3B53C395F00}" id="{18D4BE8D-2EFB-4133-A379-2A983592DE07}">
    <text>With shrink</text>
  </threadedComment>
  <threadedComment ref="D33" dT="2024-07-30T23:33:48.37" personId="{C0B933AA-081B-4752-BC75-F3B53C395F00}" id="{246E8ECA-55A3-4168-8D04-636CB17A8C9D}">
    <text>After attrition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BB6F9F33-2E07-4F96-B94E-CAA9809C8F48}">
    <text>With shrink</text>
  </threadedComment>
  <threadedComment ref="D5" dT="2024-07-30T23:33:48.37" personId="{C0B933AA-081B-4752-BC75-F3B53C395F00}" id="{2EFD99BB-3450-4678-AFD6-FF335ED5853C}">
    <text>After attrition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5CE5AA09-1BFE-4532-B525-AE71BDFBC916}">
    <text>With shrink</text>
  </threadedComment>
  <threadedComment ref="D5" dT="2024-07-30T23:33:48.37" personId="{C0B933AA-081B-4752-BC75-F3B53C395F00}" id="{6DD0E383-7CCC-4C77-8DF1-42B42CE64D11}">
    <text>After attrition</text>
  </threadedComment>
  <threadedComment ref="D11" dT="2024-07-30T23:33:39.06" personId="{C0B933AA-081B-4752-BC75-F3B53C395F00}" id="{E43087D6-8175-4C04-90D4-BAC9E37415FD}">
    <text>With shrink</text>
  </threadedComment>
  <threadedComment ref="D12" dT="2024-07-30T23:33:48.37" personId="{C0B933AA-081B-4752-BC75-F3B53C395F00}" id="{0415C12C-1B47-4E3E-8780-182F42EE2223}">
    <text>After attrition</text>
  </threadedComment>
  <threadedComment ref="D18" dT="2024-07-30T23:33:39.06" personId="{C0B933AA-081B-4752-BC75-F3B53C395F00}" id="{A07EAB0E-BC46-4ADC-9613-00EF3047534F}">
    <text>With shrink</text>
  </threadedComment>
  <threadedComment ref="D19" dT="2024-07-30T23:33:48.37" personId="{C0B933AA-081B-4752-BC75-F3B53C395F00}" id="{D16CC049-CD25-4303-AFF6-1AE635690CB8}">
    <text>After attrition</text>
  </threadedComment>
  <threadedComment ref="D25" dT="2024-07-30T23:33:39.06" personId="{C0B933AA-081B-4752-BC75-F3B53C395F00}" id="{ED19E19C-1CBF-4FE4-A38E-0A885DCC8FCA}">
    <text>With shrink</text>
  </threadedComment>
  <threadedComment ref="D26" dT="2024-07-30T23:33:48.37" personId="{C0B933AA-081B-4752-BC75-F3B53C395F00}" id="{8A03F715-92A3-4A70-812A-88617B284C21}">
    <text>After attrition</text>
  </threadedComment>
  <threadedComment ref="D32" dT="2024-07-30T23:33:39.06" personId="{C0B933AA-081B-4752-BC75-F3B53C395F00}" id="{15894F79-091A-42D5-BED5-9226F24F405E}">
    <text>With shrink</text>
  </threadedComment>
  <threadedComment ref="D33" dT="2024-07-30T23:33:48.37" personId="{C0B933AA-081B-4752-BC75-F3B53C395F00}" id="{85679D6E-A754-44A4-A1C0-93A82CAD628E}">
    <text>After attrition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B93737F6-C0BE-4DA1-9B8C-3E3017158F49}">
    <text>With shrink</text>
  </threadedComment>
  <threadedComment ref="D5" dT="2024-07-30T23:33:48.37" personId="{C0B933AA-081B-4752-BC75-F3B53C395F00}" id="{44E27C8E-9DE7-4270-B05A-7DAFF37AA939}">
    <text>After attrition</text>
  </threadedComment>
  <threadedComment ref="D11" dT="2024-07-30T23:33:39.06" personId="{C0B933AA-081B-4752-BC75-F3B53C395F00}" id="{3590C3BC-EB93-44B0-91CD-4E360E3ABB71}">
    <text>With shrink</text>
  </threadedComment>
  <threadedComment ref="D12" dT="2024-07-30T23:33:48.37" personId="{C0B933AA-081B-4752-BC75-F3B53C395F00}" id="{F0C39E0F-FDBB-4A0A-ACC3-C4BDAE327B4E}">
    <text>After attrition</text>
  </threadedComment>
  <threadedComment ref="D18" dT="2024-07-30T23:33:39.06" personId="{C0B933AA-081B-4752-BC75-F3B53C395F00}" id="{C68517F7-9D0D-472D-AF89-FF58408E922C}">
    <text>With shrink</text>
  </threadedComment>
  <threadedComment ref="D19" dT="2024-07-30T23:33:48.37" personId="{C0B933AA-081B-4752-BC75-F3B53C395F00}" id="{1255BA4F-E9B1-4CD7-8E94-47554E5EAE32}">
    <text>After attrition</text>
  </threadedComment>
  <threadedComment ref="D25" dT="2024-07-30T23:33:39.06" personId="{C0B933AA-081B-4752-BC75-F3B53C395F00}" id="{EF7464B4-3C2A-4102-96FD-71820B4ED992}">
    <text>With shrink</text>
  </threadedComment>
  <threadedComment ref="D26" dT="2024-07-30T23:33:48.37" personId="{C0B933AA-081B-4752-BC75-F3B53C395F00}" id="{EDF8DB41-03FB-4068-96A1-333058DB7406}">
    <text>After attrition</text>
  </threadedComment>
  <threadedComment ref="D32" dT="2024-07-30T23:33:39.06" personId="{C0B933AA-081B-4752-BC75-F3B53C395F00}" id="{7F6E87FA-2A9D-4189-BCCC-E0BBE9DD57F2}">
    <text>With shrink</text>
  </threadedComment>
  <threadedComment ref="D33" dT="2024-07-30T23:33:48.37" personId="{C0B933AA-081B-4752-BC75-F3B53C395F00}" id="{BD57C614-B06A-4E80-9516-52735246AF74}">
    <text>After attrition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698-C781-4A76-B109-2DB2920FE4A8}">
  <sheetPr>
    <tabColor rgb="FF0070C0"/>
  </sheetPr>
  <dimension ref="A1:S32"/>
  <sheetViews>
    <sheetView showGridLines="0" workbookViewId="0">
      <selection activeCell="C22" sqref="C22"/>
    </sheetView>
  </sheetViews>
  <sheetFormatPr defaultRowHeight="14.4" x14ac:dyDescent="0.3"/>
  <cols>
    <col min="1" max="1" width="9.5546875" bestFit="1" customWidth="1"/>
    <col min="2" max="2" width="16.5546875" bestFit="1" customWidth="1"/>
    <col min="3" max="5" width="8.6640625" bestFit="1" customWidth="1"/>
    <col min="6" max="9" width="9" bestFit="1" customWidth="1"/>
    <col min="10" max="14" width="9.33203125" bestFit="1" customWidth="1"/>
    <col min="19" max="19" width="27.109375" customWidth="1"/>
  </cols>
  <sheetData>
    <row r="1" spans="1:19" ht="15" thickBot="1" x14ac:dyDescent="0.35">
      <c r="A1" s="47" t="s">
        <v>0</v>
      </c>
      <c r="B1" s="48"/>
      <c r="C1" s="12">
        <v>45305</v>
      </c>
      <c r="D1" s="12">
        <f>C1+7</f>
        <v>45312</v>
      </c>
      <c r="E1" s="12">
        <f t="shared" ref="E1:R1" si="0">D1+7</f>
        <v>45319</v>
      </c>
      <c r="F1" s="12">
        <f t="shared" si="0"/>
        <v>45326</v>
      </c>
      <c r="G1" s="12">
        <f t="shared" si="0"/>
        <v>45333</v>
      </c>
      <c r="H1" s="12">
        <f t="shared" si="0"/>
        <v>45340</v>
      </c>
      <c r="I1" s="12">
        <f t="shared" si="0"/>
        <v>45347</v>
      </c>
      <c r="J1" s="12">
        <f t="shared" si="0"/>
        <v>45354</v>
      </c>
      <c r="K1" s="12">
        <f t="shared" si="0"/>
        <v>45361</v>
      </c>
      <c r="L1" s="12">
        <f t="shared" si="0"/>
        <v>45368</v>
      </c>
      <c r="M1" s="12">
        <f t="shared" si="0"/>
        <v>45375</v>
      </c>
      <c r="N1" s="12">
        <f t="shared" si="0"/>
        <v>45382</v>
      </c>
      <c r="O1" s="12">
        <f t="shared" si="0"/>
        <v>45389</v>
      </c>
      <c r="P1" s="12">
        <f t="shared" si="0"/>
        <v>45396</v>
      </c>
      <c r="Q1" s="12">
        <f t="shared" si="0"/>
        <v>45403</v>
      </c>
      <c r="R1" s="12">
        <f t="shared" si="0"/>
        <v>45410</v>
      </c>
      <c r="S1" s="13" t="s">
        <v>1</v>
      </c>
    </row>
    <row r="2" spans="1:19" ht="15" thickBot="1" x14ac:dyDescent="0.35">
      <c r="A2" s="41" t="s">
        <v>2</v>
      </c>
      <c r="B2" s="4" t="s">
        <v>3</v>
      </c>
      <c r="C2" s="7" t="e">
        <f>Canada!D2+Canada!#REF!+Canada!#REF!+Canada!#REF!+Canada!#REF!+Canada!#REF!</f>
        <v>#VALUE!</v>
      </c>
      <c r="D2" s="7" t="e">
        <f>Canada!E2+Canada!#REF!+Canada!#REF!+Canada!#REF!+Canada!#REF!+Canada!#REF!</f>
        <v>#REF!</v>
      </c>
      <c r="E2" s="7" t="e">
        <f>Canada!F2+Canada!#REF!+Canada!#REF!+Canada!#REF!+Canada!#REF!+Canada!#REF!</f>
        <v>#REF!</v>
      </c>
      <c r="F2" s="7" t="e">
        <f>Canada!G2+Canada!#REF!+Canada!#REF!+Canada!#REF!+Canada!#REF!+Canada!#REF!</f>
        <v>#REF!</v>
      </c>
      <c r="G2" s="7" t="e">
        <f>Canada!H2+Canada!#REF!+Canada!#REF!+Canada!#REF!+Canada!#REF!+Canada!#REF!</f>
        <v>#REF!</v>
      </c>
      <c r="H2" s="7" t="e">
        <f>Canada!I2+Canada!#REF!+Canada!#REF!+Canada!#REF!+Canada!#REF!+Canada!#REF!</f>
        <v>#REF!</v>
      </c>
      <c r="I2" s="7" t="e">
        <f>Canada!J2+Canada!#REF!+Canada!#REF!+Canada!#REF!+Canada!#REF!+Canada!#REF!</f>
        <v>#REF!</v>
      </c>
      <c r="J2" s="7" t="e">
        <f>Canada!K2+Canada!#REF!+Canada!#REF!+Canada!#REF!+Canada!#REF!+Canada!#REF!</f>
        <v>#REF!</v>
      </c>
      <c r="K2" s="7" t="e">
        <f>Canada!L2+Canada!#REF!+Canada!#REF!+Canada!#REF!+Canada!#REF!+Canada!#REF!</f>
        <v>#REF!</v>
      </c>
      <c r="L2" s="7" t="e">
        <f>Canada!M2+Canada!#REF!+Canada!#REF!+Canada!#REF!+Canada!#REF!+Canada!#REF!</f>
        <v>#REF!</v>
      </c>
      <c r="M2" s="7" t="e">
        <f>Canada!N2+Canada!#REF!+Canada!#REF!+Canada!#REF!+Canada!#REF!+Canada!#REF!</f>
        <v>#REF!</v>
      </c>
      <c r="N2" s="7" t="e">
        <f>Canada!O2+Canada!#REF!+Canada!#REF!+Canada!#REF!+Canada!#REF!+Canada!#REF!</f>
        <v>#REF!</v>
      </c>
      <c r="O2" s="7" t="e">
        <f>Canada!P2+Canada!#REF!+Canada!#REF!+Canada!#REF!+Canada!#REF!+Canada!#REF!</f>
        <v>#REF!</v>
      </c>
      <c r="P2" s="7" t="e">
        <f>Canada!Q2+Canada!#REF!+Canada!#REF!+Canada!#REF!+Canada!#REF!+Canada!#REF!</f>
        <v>#REF!</v>
      </c>
      <c r="Q2" s="7" t="e">
        <f>Canada!R2+Canada!#REF!+Canada!#REF!+Canada!#REF!+Canada!#REF!+Canada!#REF!</f>
        <v>#REF!</v>
      </c>
      <c r="R2" s="7" t="e">
        <f>Canada!S2+Canada!#REF!+Canada!#REF!+Canada!#REF!+Canada!#REF!+Canada!#REF!</f>
        <v>#REF!</v>
      </c>
      <c r="S2" s="44"/>
    </row>
    <row r="3" spans="1:19" ht="15" thickBot="1" x14ac:dyDescent="0.35">
      <c r="A3" s="42"/>
      <c r="B3" s="5" t="s">
        <v>4</v>
      </c>
      <c r="C3" s="8" t="e">
        <f>Canada!D3+Canada!#REF!+Canada!#REF!+Canada!#REF!+Canada!#REF!+Canada!#REF!</f>
        <v>#VALUE!</v>
      </c>
      <c r="D3" s="9" t="e">
        <f>Canada!E3+Canada!#REF!+Canada!#REF!+Canada!#REF!+Canada!#REF!+Canada!#REF!</f>
        <v>#REF!</v>
      </c>
      <c r="E3" s="9" t="e">
        <f>Canada!F3+Canada!#REF!+Canada!#REF!+Canada!#REF!+Canada!#REF!+Canada!#REF!</f>
        <v>#REF!</v>
      </c>
      <c r="F3" s="9" t="e">
        <f>Canada!G3+Canada!#REF!+Canada!#REF!+Canada!#REF!+Canada!#REF!+Canada!#REF!</f>
        <v>#REF!</v>
      </c>
      <c r="G3" s="9" t="e">
        <f>Canada!H3+Canada!#REF!+Canada!#REF!+Canada!#REF!+Canada!#REF!+Canada!#REF!</f>
        <v>#REF!</v>
      </c>
      <c r="H3" s="9" t="e">
        <f>Canada!I3+Canada!#REF!+Canada!#REF!+Canada!#REF!+Canada!#REF!+Canada!#REF!</f>
        <v>#REF!</v>
      </c>
      <c r="I3" s="9" t="e">
        <f>Canada!J3+Canada!#REF!+Canada!#REF!+Canada!#REF!+Canada!#REF!+Canada!#REF!</f>
        <v>#REF!</v>
      </c>
      <c r="J3" s="10" t="e">
        <f>Canada!K3+Canada!#REF!+Canada!#REF!+Canada!#REF!+Canada!#REF!+Canada!#REF!</f>
        <v>#REF!</v>
      </c>
      <c r="K3" s="9" t="e">
        <f>Canada!L3+Canada!#REF!+Canada!#REF!+Canada!#REF!+Canada!#REF!+Canada!#REF!</f>
        <v>#REF!</v>
      </c>
      <c r="L3" s="9" t="e">
        <f>Canada!M3+Canada!#REF!+Canada!#REF!+Canada!#REF!+Canada!#REF!+Canada!#REF!</f>
        <v>#REF!</v>
      </c>
      <c r="M3" s="9" t="e">
        <f>Canada!N3+Canada!#REF!+Canada!#REF!+Canada!#REF!+Canada!#REF!+Canada!#REF!</f>
        <v>#REF!</v>
      </c>
      <c r="N3" s="9" t="e">
        <f>Canada!O3+Canada!#REF!+Canada!#REF!+Canada!#REF!+Canada!#REF!+Canada!#REF!</f>
        <v>#REF!</v>
      </c>
      <c r="O3" s="9" t="e">
        <f>Canada!P3+Canada!#REF!+Canada!#REF!+Canada!#REF!+Canada!#REF!+Canada!#REF!</f>
        <v>#REF!</v>
      </c>
      <c r="P3" s="9" t="e">
        <f>Canada!Q3+Canada!#REF!+Canada!#REF!+Canada!#REF!+Canada!#REF!+Canada!#REF!</f>
        <v>#REF!</v>
      </c>
      <c r="Q3" s="9" t="e">
        <f>Canada!R3+Canada!#REF!+Canada!#REF!+Canada!#REF!+Canada!#REF!+Canada!#REF!</f>
        <v>#REF!</v>
      </c>
      <c r="R3" s="9" t="e">
        <f>Canada!S3+Canada!#REF!+Canada!#REF!+Canada!#REF!+Canada!#REF!+Canada!#REF!</f>
        <v>#REF!</v>
      </c>
      <c r="S3" s="45"/>
    </row>
    <row r="4" spans="1:19" ht="15" thickBot="1" x14ac:dyDescent="0.35">
      <c r="A4" s="43"/>
      <c r="B4" s="6" t="s">
        <v>5</v>
      </c>
      <c r="C4" s="3" t="str">
        <f>IFERROR(C3/C2,"")</f>
        <v/>
      </c>
      <c r="D4" s="1" t="str">
        <f t="shared" ref="D4:R4" si="1">IFERROR(D3/D2,"")</f>
        <v/>
      </c>
      <c r="E4" s="1" t="str">
        <f t="shared" si="1"/>
        <v/>
      </c>
      <c r="F4" s="1" t="str">
        <f t="shared" si="1"/>
        <v/>
      </c>
      <c r="G4" s="1" t="str">
        <f t="shared" si="1"/>
        <v/>
      </c>
      <c r="H4" s="1" t="str">
        <f t="shared" si="1"/>
        <v/>
      </c>
      <c r="I4" s="1" t="str">
        <f t="shared" si="1"/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  <c r="R4" s="2" t="str">
        <f t="shared" si="1"/>
        <v/>
      </c>
      <c r="S4" s="46"/>
    </row>
    <row r="5" spans="1:19" ht="15" thickBot="1" x14ac:dyDescent="0.35"/>
    <row r="6" spans="1:19" ht="15" thickBot="1" x14ac:dyDescent="0.35">
      <c r="A6" s="41" t="s">
        <v>6</v>
      </c>
      <c r="B6" s="4" t="s">
        <v>3</v>
      </c>
      <c r="C6" s="7" t="e">
        <f>#REF!+#REF!+#REF!+#REF!+#REF!+#REF!+#REF!+#REF!+#REF!+#REF!+#REF!+#REF!+#REF!</f>
        <v>#REF!</v>
      </c>
      <c r="D6" s="7" t="e">
        <f>#REF!+#REF!+#REF!+#REF!+#REF!+#REF!+#REF!+#REF!+#REF!+#REF!+#REF!+#REF!+#REF!</f>
        <v>#REF!</v>
      </c>
      <c r="E6" s="7" t="e">
        <f>#REF!+#REF!+#REF!+#REF!+#REF!+#REF!+#REF!+#REF!+#REF!+#REF!+#REF!+#REF!+#REF!</f>
        <v>#REF!</v>
      </c>
      <c r="F6" s="7" t="e">
        <f>#REF!+#REF!+#REF!+#REF!+#REF!+#REF!+#REF!+#REF!+#REF!+#REF!+#REF!+#REF!+#REF!</f>
        <v>#REF!</v>
      </c>
      <c r="G6" s="7" t="e">
        <f>#REF!+#REF!+#REF!+#REF!+#REF!+#REF!+#REF!+#REF!+#REF!+#REF!+#REF!+#REF!+#REF!</f>
        <v>#REF!</v>
      </c>
      <c r="H6" s="7" t="e">
        <f>#REF!+#REF!+#REF!+#REF!+#REF!+#REF!+#REF!+#REF!+#REF!+#REF!+#REF!+#REF!+#REF!</f>
        <v>#REF!</v>
      </c>
      <c r="I6" s="7" t="e">
        <f>#REF!+#REF!+#REF!+#REF!+#REF!+#REF!+#REF!+#REF!+#REF!+#REF!+#REF!+#REF!+#REF!</f>
        <v>#REF!</v>
      </c>
      <c r="J6" s="7" t="e">
        <f>#REF!+#REF!+#REF!+#REF!+#REF!+#REF!+#REF!+#REF!+#REF!+#REF!+#REF!+#REF!+#REF!</f>
        <v>#REF!</v>
      </c>
      <c r="K6" s="7" t="e">
        <f>#REF!+#REF!+#REF!+#REF!+#REF!+#REF!+#REF!+#REF!+#REF!+#REF!+#REF!+#REF!+#REF!</f>
        <v>#REF!</v>
      </c>
      <c r="L6" s="7" t="e">
        <f>#REF!+#REF!+#REF!+#REF!+#REF!+#REF!+#REF!+#REF!+#REF!+#REF!+#REF!+#REF!+#REF!</f>
        <v>#REF!</v>
      </c>
      <c r="M6" s="7" t="e">
        <f>#REF!+#REF!+#REF!+#REF!+#REF!+#REF!+#REF!+#REF!+#REF!+#REF!+#REF!+#REF!+#REF!</f>
        <v>#REF!</v>
      </c>
      <c r="N6" s="7" t="e">
        <f>#REF!+#REF!+#REF!+#REF!+#REF!+#REF!+#REF!+#REF!+#REF!+#REF!+#REF!+#REF!+#REF!</f>
        <v>#REF!</v>
      </c>
      <c r="O6" s="7" t="e">
        <f>#REF!+#REF!+#REF!+#REF!+#REF!+#REF!+#REF!+#REF!+#REF!+#REF!+#REF!+#REF!+#REF!</f>
        <v>#REF!</v>
      </c>
      <c r="P6" s="7" t="e">
        <f>#REF!+#REF!+#REF!+#REF!+#REF!+#REF!+#REF!+#REF!+#REF!+#REF!+#REF!+#REF!+#REF!</f>
        <v>#REF!</v>
      </c>
      <c r="Q6" s="7" t="e">
        <f>#REF!+#REF!+#REF!+#REF!+#REF!+#REF!+#REF!+#REF!+#REF!+#REF!+#REF!+#REF!+#REF!</f>
        <v>#REF!</v>
      </c>
      <c r="R6" s="7" t="e">
        <f>#REF!+#REF!+#REF!+#REF!+#REF!+#REF!+#REF!+#REF!+#REF!+#REF!+#REF!+#REF!+#REF!</f>
        <v>#REF!</v>
      </c>
      <c r="S6" s="44"/>
    </row>
    <row r="7" spans="1:19" ht="15" thickBot="1" x14ac:dyDescent="0.35">
      <c r="A7" s="42"/>
      <c r="B7" s="5" t="s">
        <v>4</v>
      </c>
      <c r="C7" s="8" t="e">
        <f>#REF!+#REF!+#REF!+#REF!+#REF!+#REF!+#REF!+#REF!+#REF!+#REF!+#REF!+#REF!+#REF!</f>
        <v>#REF!</v>
      </c>
      <c r="D7" s="9" t="e">
        <f>#REF!+#REF!+#REF!+#REF!+#REF!+#REF!+#REF!+#REF!+#REF!+#REF!+#REF!+#REF!+#REF!</f>
        <v>#REF!</v>
      </c>
      <c r="E7" s="9" t="e">
        <f>#REF!+#REF!+#REF!+#REF!+#REF!+#REF!+#REF!+#REF!+#REF!+#REF!+#REF!+#REF!+#REF!</f>
        <v>#REF!</v>
      </c>
      <c r="F7" s="9" t="e">
        <f>#REF!+#REF!+#REF!+#REF!+#REF!+#REF!+#REF!+#REF!+#REF!+#REF!+#REF!+#REF!+#REF!</f>
        <v>#REF!</v>
      </c>
      <c r="G7" s="9" t="e">
        <f>#REF!+#REF!+#REF!+#REF!+#REF!+#REF!+#REF!+#REF!+#REF!+#REF!+#REF!+#REF!+#REF!</f>
        <v>#REF!</v>
      </c>
      <c r="H7" s="9" t="e">
        <f>#REF!+#REF!+#REF!+#REF!+#REF!+#REF!+#REF!+#REF!+#REF!+#REF!+#REF!+#REF!+#REF!</f>
        <v>#REF!</v>
      </c>
      <c r="I7" s="9" t="e">
        <f>#REF!+#REF!+#REF!+#REF!+#REF!+#REF!+#REF!+#REF!+#REF!+#REF!+#REF!+#REF!+#REF!</f>
        <v>#REF!</v>
      </c>
      <c r="J7" s="10" t="e">
        <f>#REF!+#REF!+#REF!+#REF!+#REF!+#REF!+#REF!+#REF!+#REF!+#REF!+#REF!+#REF!+#REF!</f>
        <v>#REF!</v>
      </c>
      <c r="K7" s="9" t="e">
        <f>#REF!+#REF!+#REF!+#REF!+#REF!+#REF!+#REF!+#REF!+#REF!+#REF!+#REF!+#REF!+#REF!</f>
        <v>#REF!</v>
      </c>
      <c r="L7" s="9" t="e">
        <f>#REF!+#REF!+#REF!+#REF!+#REF!+#REF!+#REF!+#REF!+#REF!+#REF!+#REF!+#REF!+#REF!</f>
        <v>#REF!</v>
      </c>
      <c r="M7" s="9" t="e">
        <f>#REF!+#REF!+#REF!+#REF!+#REF!+#REF!+#REF!+#REF!+#REF!+#REF!+#REF!+#REF!+#REF!</f>
        <v>#REF!</v>
      </c>
      <c r="N7" s="9" t="e">
        <f>#REF!+#REF!+#REF!+#REF!+#REF!+#REF!+#REF!+#REF!+#REF!+#REF!+#REF!+#REF!+#REF!</f>
        <v>#REF!</v>
      </c>
      <c r="O7" s="9" t="e">
        <f>#REF!+#REF!+#REF!+#REF!+#REF!+#REF!+#REF!+#REF!+#REF!+#REF!+#REF!+#REF!+#REF!</f>
        <v>#REF!</v>
      </c>
      <c r="P7" s="9" t="e">
        <f>#REF!+#REF!+#REF!+#REF!+#REF!+#REF!+#REF!+#REF!+#REF!+#REF!+#REF!+#REF!+#REF!</f>
        <v>#REF!</v>
      </c>
      <c r="Q7" s="9" t="e">
        <f>#REF!+#REF!+#REF!+#REF!+#REF!+#REF!+#REF!+#REF!+#REF!+#REF!+#REF!+#REF!+#REF!</f>
        <v>#REF!</v>
      </c>
      <c r="R7" s="9" t="e">
        <f>#REF!+#REF!+#REF!+#REF!+#REF!+#REF!+#REF!+#REF!+#REF!+#REF!+#REF!+#REF!+#REF!</f>
        <v>#REF!</v>
      </c>
      <c r="S7" s="45"/>
    </row>
    <row r="8" spans="1:19" ht="15" thickBot="1" x14ac:dyDescent="0.35">
      <c r="A8" s="43"/>
      <c r="B8" s="6" t="s">
        <v>5</v>
      </c>
      <c r="C8" s="3" t="str">
        <f>IFERROR(C7/C6,"")</f>
        <v/>
      </c>
      <c r="D8" s="1" t="str">
        <f t="shared" ref="D8" si="2">IFERROR(D7/D6,"")</f>
        <v/>
      </c>
      <c r="E8" s="1" t="str">
        <f t="shared" ref="E8" si="3">IFERROR(E7/E6,"")</f>
        <v/>
      </c>
      <c r="F8" s="1" t="str">
        <f t="shared" ref="F8" si="4">IFERROR(F7/F6,"")</f>
        <v/>
      </c>
      <c r="G8" s="1" t="str">
        <f t="shared" ref="G8" si="5">IFERROR(G7/G6,"")</f>
        <v/>
      </c>
      <c r="H8" s="1" t="str">
        <f t="shared" ref="H8" si="6">IFERROR(H7/H6,"")</f>
        <v/>
      </c>
      <c r="I8" s="1" t="str">
        <f t="shared" ref="I8" si="7">IFERROR(I7/I6,"")</f>
        <v/>
      </c>
      <c r="J8" s="2" t="str">
        <f t="shared" ref="J8:R8" si="8">IFERROR(J7/J6,"")</f>
        <v/>
      </c>
      <c r="K8" s="2" t="str">
        <f t="shared" si="8"/>
        <v/>
      </c>
      <c r="L8" s="2" t="str">
        <f t="shared" si="8"/>
        <v/>
      </c>
      <c r="M8" s="2" t="str">
        <f t="shared" si="8"/>
        <v/>
      </c>
      <c r="N8" s="2" t="str">
        <f t="shared" si="8"/>
        <v/>
      </c>
      <c r="O8" s="2" t="str">
        <f t="shared" si="8"/>
        <v/>
      </c>
      <c r="P8" s="2" t="str">
        <f t="shared" si="8"/>
        <v/>
      </c>
      <c r="Q8" s="2" t="str">
        <f t="shared" si="8"/>
        <v/>
      </c>
      <c r="R8" s="2" t="str">
        <f t="shared" si="8"/>
        <v/>
      </c>
      <c r="S8" s="46"/>
    </row>
    <row r="9" spans="1:19" ht="15" thickBot="1" x14ac:dyDescent="0.35"/>
    <row r="10" spans="1:19" ht="15" thickBot="1" x14ac:dyDescent="0.35">
      <c r="A10" s="41" t="s">
        <v>7</v>
      </c>
      <c r="B10" s="4" t="s">
        <v>3</v>
      </c>
      <c r="C10" s="7" t="e">
        <f>#REF!+#REF!</f>
        <v>#REF!</v>
      </c>
      <c r="D10" s="7" t="e">
        <f>#REF!+#REF!</f>
        <v>#REF!</v>
      </c>
      <c r="E10" s="7" t="e">
        <f>#REF!+#REF!</f>
        <v>#REF!</v>
      </c>
      <c r="F10" s="7" t="e">
        <f>#REF!+#REF!</f>
        <v>#REF!</v>
      </c>
      <c r="G10" s="7" t="e">
        <f>#REF!+#REF!</f>
        <v>#REF!</v>
      </c>
      <c r="H10" s="7" t="e">
        <f>#REF!+#REF!</f>
        <v>#REF!</v>
      </c>
      <c r="I10" s="7" t="e">
        <f>#REF!+#REF!</f>
        <v>#REF!</v>
      </c>
      <c r="J10" s="7" t="e">
        <f>#REF!+#REF!</f>
        <v>#REF!</v>
      </c>
      <c r="K10" s="7" t="e">
        <f>#REF!+#REF!</f>
        <v>#REF!</v>
      </c>
      <c r="L10" s="7" t="e">
        <f>#REF!+#REF!</f>
        <v>#REF!</v>
      </c>
      <c r="M10" s="7" t="e">
        <f>#REF!+#REF!</f>
        <v>#REF!</v>
      </c>
      <c r="N10" s="7" t="e">
        <f>#REF!+#REF!</f>
        <v>#REF!</v>
      </c>
      <c r="O10" s="7" t="e">
        <f>#REF!+#REF!</f>
        <v>#REF!</v>
      </c>
      <c r="P10" s="7" t="e">
        <f>#REF!+#REF!</f>
        <v>#REF!</v>
      </c>
      <c r="Q10" s="7" t="e">
        <f>#REF!+#REF!</f>
        <v>#REF!</v>
      </c>
      <c r="R10" s="7" t="e">
        <f>#REF!+#REF!</f>
        <v>#REF!</v>
      </c>
      <c r="S10" s="44"/>
    </row>
    <row r="11" spans="1:19" ht="15" thickBot="1" x14ac:dyDescent="0.35">
      <c r="A11" s="42"/>
      <c r="B11" s="5" t="s">
        <v>4</v>
      </c>
      <c r="C11" s="8" t="e">
        <f>#REF!+#REF!</f>
        <v>#REF!</v>
      </c>
      <c r="D11" s="9" t="e">
        <f>#REF!+#REF!</f>
        <v>#REF!</v>
      </c>
      <c r="E11" s="9" t="e">
        <f>#REF!+#REF!</f>
        <v>#REF!</v>
      </c>
      <c r="F11" s="9" t="e">
        <f>#REF!+#REF!</f>
        <v>#REF!</v>
      </c>
      <c r="G11" s="9" t="e">
        <f>#REF!+#REF!</f>
        <v>#REF!</v>
      </c>
      <c r="H11" s="9" t="e">
        <f>#REF!+#REF!</f>
        <v>#REF!</v>
      </c>
      <c r="I11" s="9" t="e">
        <f>#REF!+#REF!</f>
        <v>#REF!</v>
      </c>
      <c r="J11" s="10" t="e">
        <f>#REF!+#REF!</f>
        <v>#REF!</v>
      </c>
      <c r="K11" s="9" t="e">
        <f>#REF!+#REF!</f>
        <v>#REF!</v>
      </c>
      <c r="L11" s="9" t="e">
        <f>#REF!+#REF!</f>
        <v>#REF!</v>
      </c>
      <c r="M11" s="9" t="e">
        <f>#REF!+#REF!</f>
        <v>#REF!</v>
      </c>
      <c r="N11" s="9" t="e">
        <f>#REF!+#REF!</f>
        <v>#REF!</v>
      </c>
      <c r="O11" s="9" t="e">
        <f>#REF!+#REF!</f>
        <v>#REF!</v>
      </c>
      <c r="P11" s="9" t="e">
        <f>#REF!+#REF!</f>
        <v>#REF!</v>
      </c>
      <c r="Q11" s="9" t="e">
        <f>#REF!+#REF!</f>
        <v>#REF!</v>
      </c>
      <c r="R11" s="9" t="e">
        <f>#REF!+#REF!</f>
        <v>#REF!</v>
      </c>
      <c r="S11" s="45"/>
    </row>
    <row r="12" spans="1:19" ht="15" thickBot="1" x14ac:dyDescent="0.35">
      <c r="A12" s="43"/>
      <c r="B12" s="6" t="s">
        <v>5</v>
      </c>
      <c r="C12" s="3" t="str">
        <f>IFERROR(C11/C10,"")</f>
        <v/>
      </c>
      <c r="D12" s="1" t="str">
        <f t="shared" ref="D12" si="9">IFERROR(D11/D10,"")</f>
        <v/>
      </c>
      <c r="E12" s="1" t="str">
        <f t="shared" ref="E12" si="10">IFERROR(E11/E10,"")</f>
        <v/>
      </c>
      <c r="F12" s="1" t="str">
        <f t="shared" ref="F12" si="11">IFERROR(F11/F10,"")</f>
        <v/>
      </c>
      <c r="G12" s="1" t="str">
        <f t="shared" ref="G12" si="12">IFERROR(G11/G10,"")</f>
        <v/>
      </c>
      <c r="H12" s="1" t="str">
        <f t="shared" ref="H12" si="13">IFERROR(H11/H10,"")</f>
        <v/>
      </c>
      <c r="I12" s="1" t="str">
        <f t="shared" ref="I12" si="14">IFERROR(I11/I10,"")</f>
        <v/>
      </c>
      <c r="J12" s="2" t="str">
        <f t="shared" ref="J12:R12" si="15">IFERROR(J11/J10,"")</f>
        <v/>
      </c>
      <c r="K12" s="2" t="str">
        <f t="shared" si="15"/>
        <v/>
      </c>
      <c r="L12" s="2" t="str">
        <f t="shared" si="15"/>
        <v/>
      </c>
      <c r="M12" s="2" t="str">
        <f t="shared" si="15"/>
        <v/>
      </c>
      <c r="N12" s="2" t="str">
        <f t="shared" si="15"/>
        <v/>
      </c>
      <c r="O12" s="2" t="str">
        <f t="shared" si="15"/>
        <v/>
      </c>
      <c r="P12" s="2" t="str">
        <f t="shared" si="15"/>
        <v/>
      </c>
      <c r="Q12" s="2" t="str">
        <f t="shared" si="15"/>
        <v/>
      </c>
      <c r="R12" s="2" t="str">
        <f t="shared" si="15"/>
        <v/>
      </c>
      <c r="S12" s="46"/>
    </row>
    <row r="13" spans="1:19" ht="15" thickBot="1" x14ac:dyDescent="0.35"/>
    <row r="14" spans="1:19" ht="15" thickBot="1" x14ac:dyDescent="0.35">
      <c r="A14" s="41" t="s">
        <v>8</v>
      </c>
      <c r="B14" s="4" t="s">
        <v>3</v>
      </c>
      <c r="C14" s="7" t="e">
        <f>#REF!+#REF!+#REF!+#REF!+#REF!+#REF!+#REF!+#REF!+#REF!+#REF!+#REF!+#REF!+#REF!+#REF!+#REF!+#REF!+#REF!+#REF!+#REF!+#REF!</f>
        <v>#REF!</v>
      </c>
      <c r="D14" s="7" t="e">
        <f>#REF!+#REF!+#REF!+#REF!+#REF!+#REF!+#REF!+#REF!+#REF!+#REF!+#REF!+#REF!+#REF!+#REF!+#REF!+#REF!+#REF!+#REF!+#REF!+#REF!</f>
        <v>#REF!</v>
      </c>
      <c r="E14" s="7" t="e">
        <f>#REF!+#REF!+#REF!+#REF!+#REF!+#REF!+#REF!+#REF!+#REF!+#REF!+#REF!+#REF!+#REF!+#REF!+#REF!+#REF!+#REF!+#REF!+#REF!+#REF!</f>
        <v>#REF!</v>
      </c>
      <c r="F14" s="7" t="e">
        <f>#REF!+#REF!+#REF!+#REF!+#REF!+#REF!+#REF!+#REF!+#REF!+#REF!+#REF!+#REF!+#REF!+#REF!+#REF!+#REF!+#REF!+#REF!+#REF!+#REF!</f>
        <v>#REF!</v>
      </c>
      <c r="G14" s="7" t="e">
        <f>#REF!+#REF!+#REF!+#REF!+#REF!+#REF!+#REF!+#REF!+#REF!+#REF!+#REF!+#REF!+#REF!+#REF!+#REF!+#REF!+#REF!+#REF!+#REF!+#REF!</f>
        <v>#REF!</v>
      </c>
      <c r="H14" s="7" t="e">
        <f>#REF!+#REF!+#REF!+#REF!+#REF!+#REF!+#REF!+#REF!+#REF!+#REF!+#REF!+#REF!+#REF!+#REF!+#REF!+#REF!+#REF!+#REF!+#REF!+#REF!</f>
        <v>#REF!</v>
      </c>
      <c r="I14" s="7" t="e">
        <f>#REF!+#REF!+#REF!+#REF!+#REF!+#REF!+#REF!+#REF!+#REF!+#REF!+#REF!+#REF!+#REF!+#REF!+#REF!+#REF!+#REF!+#REF!+#REF!+#REF!</f>
        <v>#REF!</v>
      </c>
      <c r="J14" s="7" t="e">
        <f>#REF!+#REF!+#REF!+#REF!+#REF!+#REF!+#REF!+#REF!+#REF!+#REF!+#REF!+#REF!+#REF!+#REF!+#REF!+#REF!+#REF!+#REF!+#REF!+#REF!</f>
        <v>#REF!</v>
      </c>
      <c r="K14" s="7" t="e">
        <f>#REF!+#REF!+#REF!+#REF!+#REF!+#REF!+#REF!+#REF!+#REF!+#REF!+#REF!+#REF!+#REF!+#REF!+#REF!+#REF!+#REF!+#REF!+#REF!+#REF!</f>
        <v>#REF!</v>
      </c>
      <c r="L14" s="7" t="e">
        <f>#REF!+#REF!+#REF!+#REF!+#REF!+#REF!+#REF!+#REF!+#REF!+#REF!+#REF!+#REF!+#REF!+#REF!+#REF!+#REF!+#REF!+#REF!+#REF!+#REF!</f>
        <v>#REF!</v>
      </c>
      <c r="M14" s="7" t="e">
        <f>#REF!+#REF!+#REF!+#REF!+#REF!+#REF!+#REF!+#REF!+#REF!+#REF!+#REF!+#REF!+#REF!+#REF!+#REF!+#REF!+#REF!+#REF!+#REF!+#REF!</f>
        <v>#REF!</v>
      </c>
      <c r="N14" s="7" t="e">
        <f>#REF!+#REF!+#REF!+#REF!+#REF!+#REF!+#REF!+#REF!+#REF!+#REF!+#REF!+#REF!+#REF!+#REF!+#REF!+#REF!+#REF!+#REF!+#REF!+#REF!</f>
        <v>#REF!</v>
      </c>
      <c r="O14" s="7" t="e">
        <f>#REF!+#REF!+#REF!+#REF!+#REF!+#REF!+#REF!+#REF!+#REF!+#REF!+#REF!+#REF!+#REF!+#REF!+#REF!+#REF!+#REF!+#REF!+#REF!+#REF!</f>
        <v>#REF!</v>
      </c>
      <c r="P14" s="7" t="e">
        <f>#REF!+#REF!+#REF!+#REF!+#REF!+#REF!+#REF!+#REF!+#REF!+#REF!+#REF!+#REF!+#REF!+#REF!+#REF!+#REF!+#REF!+#REF!+#REF!+#REF!</f>
        <v>#REF!</v>
      </c>
      <c r="Q14" s="7" t="e">
        <f>#REF!+#REF!+#REF!+#REF!+#REF!+#REF!+#REF!+#REF!+#REF!+#REF!+#REF!+#REF!+#REF!+#REF!+#REF!+#REF!+#REF!+#REF!+#REF!+#REF!</f>
        <v>#REF!</v>
      </c>
      <c r="R14" s="7" t="e">
        <f>#REF!+#REF!+#REF!+#REF!+#REF!+#REF!+#REF!+#REF!+#REF!+#REF!+#REF!+#REF!+#REF!+#REF!+#REF!+#REF!+#REF!+#REF!+#REF!+#REF!</f>
        <v>#REF!</v>
      </c>
      <c r="S14" s="44"/>
    </row>
    <row r="15" spans="1:19" ht="15" thickBot="1" x14ac:dyDescent="0.35">
      <c r="A15" s="42"/>
      <c r="B15" s="5" t="s">
        <v>4</v>
      </c>
      <c r="C15" s="8" t="e">
        <f>#REF!+#REF!+#REF!+#REF!+#REF!+#REF!+#REF!+#REF!+#REF!+#REF!+#REF!+#REF!+#REF!+#REF!+#REF!+#REF!+#REF!+#REF!+#REF!+#REF!</f>
        <v>#REF!</v>
      </c>
      <c r="D15" s="9" t="e">
        <f>#REF!+#REF!+#REF!+#REF!+#REF!+#REF!+#REF!+#REF!+#REF!+#REF!+#REF!+#REF!+#REF!+#REF!+#REF!+#REF!+#REF!+#REF!+#REF!+#REF!</f>
        <v>#REF!</v>
      </c>
      <c r="E15" s="9" t="e">
        <f>#REF!+#REF!+#REF!+#REF!+#REF!+#REF!+#REF!+#REF!+#REF!+#REF!+#REF!+#REF!+#REF!+#REF!+#REF!+#REF!+#REF!+#REF!+#REF!+#REF!</f>
        <v>#REF!</v>
      </c>
      <c r="F15" s="9" t="e">
        <f>#REF!+#REF!+#REF!+#REF!+#REF!+#REF!+#REF!+#REF!+#REF!+#REF!+#REF!+#REF!+#REF!+#REF!+#REF!+#REF!+#REF!+#REF!+#REF!+#REF!</f>
        <v>#REF!</v>
      </c>
      <c r="G15" s="9" t="e">
        <f>#REF!+#REF!+#REF!+#REF!+#REF!+#REF!+#REF!+#REF!+#REF!+#REF!+#REF!+#REF!+#REF!+#REF!+#REF!+#REF!+#REF!+#REF!+#REF!+#REF!</f>
        <v>#REF!</v>
      </c>
      <c r="H15" s="9" t="e">
        <f>#REF!+#REF!+#REF!+#REF!+#REF!+#REF!+#REF!+#REF!+#REF!+#REF!+#REF!+#REF!+#REF!+#REF!+#REF!+#REF!+#REF!+#REF!+#REF!+#REF!</f>
        <v>#REF!</v>
      </c>
      <c r="I15" s="9" t="e">
        <f>#REF!+#REF!+#REF!+#REF!+#REF!+#REF!+#REF!+#REF!+#REF!+#REF!+#REF!+#REF!+#REF!+#REF!+#REF!+#REF!+#REF!+#REF!+#REF!+#REF!</f>
        <v>#REF!</v>
      </c>
      <c r="J15" s="10" t="e">
        <f>#REF!+#REF!+#REF!+#REF!+#REF!+#REF!+#REF!+#REF!+#REF!+#REF!+#REF!+#REF!+#REF!+#REF!+#REF!+#REF!+#REF!+#REF!+#REF!+#REF!</f>
        <v>#REF!</v>
      </c>
      <c r="K15" s="9" t="e">
        <f>#REF!+#REF!+#REF!+#REF!+#REF!+#REF!+#REF!+#REF!+#REF!+#REF!+#REF!+#REF!+#REF!+#REF!+#REF!+#REF!+#REF!+#REF!+#REF!+#REF!</f>
        <v>#REF!</v>
      </c>
      <c r="L15" s="9" t="e">
        <f>#REF!+#REF!+#REF!+#REF!+#REF!+#REF!+#REF!+#REF!+#REF!+#REF!+#REF!+#REF!+#REF!+#REF!+#REF!+#REF!+#REF!+#REF!+#REF!+#REF!</f>
        <v>#REF!</v>
      </c>
      <c r="M15" s="9" t="e">
        <f>#REF!+#REF!+#REF!+#REF!+#REF!+#REF!+#REF!+#REF!+#REF!+#REF!+#REF!+#REF!+#REF!+#REF!+#REF!+#REF!+#REF!+#REF!+#REF!+#REF!</f>
        <v>#REF!</v>
      </c>
      <c r="N15" s="9" t="e">
        <f>#REF!+#REF!+#REF!+#REF!+#REF!+#REF!+#REF!+#REF!+#REF!+#REF!+#REF!+#REF!+#REF!+#REF!+#REF!+#REF!+#REF!+#REF!+#REF!+#REF!</f>
        <v>#REF!</v>
      </c>
      <c r="O15" s="9" t="e">
        <f>#REF!+#REF!+#REF!+#REF!+#REF!+#REF!+#REF!+#REF!+#REF!+#REF!+#REF!+#REF!+#REF!+#REF!+#REF!+#REF!+#REF!+#REF!+#REF!+#REF!</f>
        <v>#REF!</v>
      </c>
      <c r="P15" s="9" t="e">
        <f>#REF!+#REF!+#REF!+#REF!+#REF!+#REF!+#REF!+#REF!+#REF!+#REF!+#REF!+#REF!+#REF!+#REF!+#REF!+#REF!+#REF!+#REF!+#REF!+#REF!</f>
        <v>#REF!</v>
      </c>
      <c r="Q15" s="9" t="e">
        <f>#REF!+#REF!+#REF!+#REF!+#REF!+#REF!+#REF!+#REF!+#REF!+#REF!+#REF!+#REF!+#REF!+#REF!+#REF!+#REF!+#REF!+#REF!+#REF!+#REF!</f>
        <v>#REF!</v>
      </c>
      <c r="R15" s="9" t="e">
        <f>#REF!+#REF!+#REF!+#REF!+#REF!+#REF!+#REF!+#REF!+#REF!+#REF!+#REF!+#REF!+#REF!+#REF!+#REF!+#REF!+#REF!+#REF!+#REF!+#REF!</f>
        <v>#REF!</v>
      </c>
      <c r="S15" s="45"/>
    </row>
    <row r="16" spans="1:19" ht="15" thickBot="1" x14ac:dyDescent="0.35">
      <c r="A16" s="43"/>
      <c r="B16" s="6" t="s">
        <v>5</v>
      </c>
      <c r="C16" s="3" t="str">
        <f>IFERROR(C15/C14,"")</f>
        <v/>
      </c>
      <c r="D16" s="1" t="str">
        <f t="shared" ref="D16:R16" si="16">IFERROR(D15/D14,"")</f>
        <v/>
      </c>
      <c r="E16" s="1" t="str">
        <f t="shared" si="16"/>
        <v/>
      </c>
      <c r="F16" s="1" t="str">
        <f t="shared" si="16"/>
        <v/>
      </c>
      <c r="G16" s="1" t="str">
        <f t="shared" si="16"/>
        <v/>
      </c>
      <c r="H16" s="1" t="str">
        <f t="shared" si="16"/>
        <v/>
      </c>
      <c r="I16" s="1" t="str">
        <f t="shared" si="16"/>
        <v/>
      </c>
      <c r="J16" s="2" t="str">
        <f t="shared" si="16"/>
        <v/>
      </c>
      <c r="K16" s="2" t="str">
        <f t="shared" si="16"/>
        <v/>
      </c>
      <c r="L16" s="2" t="str">
        <f t="shared" si="16"/>
        <v/>
      </c>
      <c r="M16" s="2" t="str">
        <f t="shared" si="16"/>
        <v/>
      </c>
      <c r="N16" s="2" t="str">
        <f t="shared" si="16"/>
        <v/>
      </c>
      <c r="O16" s="2" t="str">
        <f t="shared" si="16"/>
        <v/>
      </c>
      <c r="P16" s="2" t="str">
        <f t="shared" si="16"/>
        <v/>
      </c>
      <c r="Q16" s="2" t="str">
        <f t="shared" si="16"/>
        <v/>
      </c>
      <c r="R16" s="2" t="str">
        <f t="shared" si="16"/>
        <v/>
      </c>
      <c r="S16" s="46"/>
    </row>
    <row r="17" spans="1:19" ht="15" thickBot="1" x14ac:dyDescent="0.35"/>
    <row r="18" spans="1:19" ht="15" thickBot="1" x14ac:dyDescent="0.35">
      <c r="A18" s="41" t="s">
        <v>9</v>
      </c>
      <c r="B18" s="4" t="s">
        <v>3</v>
      </c>
      <c r="C18" s="7" t="e">
        <f>#REF!+#REF!</f>
        <v>#REF!</v>
      </c>
      <c r="D18" s="7" t="e">
        <f>#REF!+#REF!</f>
        <v>#REF!</v>
      </c>
      <c r="E18" s="7" t="e">
        <f>#REF!+#REF!</f>
        <v>#REF!</v>
      </c>
      <c r="F18" s="7" t="e">
        <f>#REF!+#REF!</f>
        <v>#REF!</v>
      </c>
      <c r="G18" s="7" t="e">
        <f>#REF!+#REF!</f>
        <v>#REF!</v>
      </c>
      <c r="H18" s="7" t="e">
        <f>#REF!+#REF!</f>
        <v>#REF!</v>
      </c>
      <c r="I18" s="7" t="e">
        <f>#REF!+#REF!</f>
        <v>#REF!</v>
      </c>
      <c r="J18" s="7" t="e">
        <f>#REF!+#REF!</f>
        <v>#REF!</v>
      </c>
      <c r="K18" s="7" t="e">
        <f>#REF!+#REF!</f>
        <v>#REF!</v>
      </c>
      <c r="L18" s="7" t="e">
        <f>#REF!+#REF!</f>
        <v>#REF!</v>
      </c>
      <c r="M18" s="7" t="e">
        <f>#REF!+#REF!</f>
        <v>#REF!</v>
      </c>
      <c r="N18" s="7" t="e">
        <f>#REF!+#REF!</f>
        <v>#REF!</v>
      </c>
      <c r="O18" s="7" t="e">
        <f>#REF!+#REF!</f>
        <v>#REF!</v>
      </c>
      <c r="P18" s="7" t="e">
        <f>#REF!+#REF!</f>
        <v>#REF!</v>
      </c>
      <c r="Q18" s="7" t="e">
        <f>#REF!+#REF!</f>
        <v>#REF!</v>
      </c>
      <c r="R18" s="7" t="e">
        <f>#REF!+#REF!</f>
        <v>#REF!</v>
      </c>
      <c r="S18" s="44"/>
    </row>
    <row r="19" spans="1:19" ht="15" thickBot="1" x14ac:dyDescent="0.35">
      <c r="A19" s="42"/>
      <c r="B19" s="5" t="s">
        <v>4</v>
      </c>
      <c r="C19" s="8" t="e">
        <f>#REF!+#REF!</f>
        <v>#REF!</v>
      </c>
      <c r="D19" s="9" t="e">
        <f>#REF!+#REF!</f>
        <v>#REF!</v>
      </c>
      <c r="E19" s="9" t="e">
        <f>#REF!+#REF!</f>
        <v>#REF!</v>
      </c>
      <c r="F19" s="9" t="e">
        <f>#REF!+#REF!</f>
        <v>#REF!</v>
      </c>
      <c r="G19" s="9" t="e">
        <f>#REF!+#REF!</f>
        <v>#REF!</v>
      </c>
      <c r="H19" s="9" t="e">
        <f>#REF!+#REF!</f>
        <v>#REF!</v>
      </c>
      <c r="I19" s="9" t="e">
        <f>#REF!+#REF!</f>
        <v>#REF!</v>
      </c>
      <c r="J19" s="10" t="e">
        <f>#REF!+#REF!</f>
        <v>#REF!</v>
      </c>
      <c r="K19" s="9" t="e">
        <f>#REF!+#REF!</f>
        <v>#REF!</v>
      </c>
      <c r="L19" s="9" t="e">
        <f>#REF!+#REF!</f>
        <v>#REF!</v>
      </c>
      <c r="M19" s="9" t="e">
        <f>#REF!+#REF!</f>
        <v>#REF!</v>
      </c>
      <c r="N19" s="9" t="e">
        <f>#REF!+#REF!</f>
        <v>#REF!</v>
      </c>
      <c r="O19" s="9" t="e">
        <f>#REF!+#REF!</f>
        <v>#REF!</v>
      </c>
      <c r="P19" s="9" t="e">
        <f>#REF!+#REF!</f>
        <v>#REF!</v>
      </c>
      <c r="Q19" s="9" t="e">
        <f>#REF!+#REF!</f>
        <v>#REF!</v>
      </c>
      <c r="R19" s="9" t="e">
        <f>#REF!+#REF!</f>
        <v>#REF!</v>
      </c>
      <c r="S19" s="45"/>
    </row>
    <row r="20" spans="1:19" ht="15" thickBot="1" x14ac:dyDescent="0.35">
      <c r="A20" s="43"/>
      <c r="B20" s="6" t="s">
        <v>5</v>
      </c>
      <c r="C20" s="3" t="str">
        <f>IFERROR(C19/C18,"")</f>
        <v/>
      </c>
      <c r="D20" s="1" t="str">
        <f t="shared" ref="D20:R20" si="17">IFERROR(D19/D18,"")</f>
        <v/>
      </c>
      <c r="E20" s="1" t="str">
        <f t="shared" si="17"/>
        <v/>
      </c>
      <c r="F20" s="1" t="str">
        <f t="shared" si="17"/>
        <v/>
      </c>
      <c r="G20" s="1" t="str">
        <f t="shared" si="17"/>
        <v/>
      </c>
      <c r="H20" s="1" t="str">
        <f t="shared" si="17"/>
        <v/>
      </c>
      <c r="I20" s="1" t="str">
        <f t="shared" si="17"/>
        <v/>
      </c>
      <c r="J20" s="2" t="str">
        <f t="shared" si="17"/>
        <v/>
      </c>
      <c r="K20" s="2" t="str">
        <f t="shared" si="17"/>
        <v/>
      </c>
      <c r="L20" s="2" t="str">
        <f t="shared" si="17"/>
        <v/>
      </c>
      <c r="M20" s="2" t="str">
        <f t="shared" si="17"/>
        <v/>
      </c>
      <c r="N20" s="2" t="str">
        <f t="shared" si="17"/>
        <v/>
      </c>
      <c r="O20" s="2" t="str">
        <f t="shared" si="17"/>
        <v/>
      </c>
      <c r="P20" s="2" t="str">
        <f t="shared" si="17"/>
        <v/>
      </c>
      <c r="Q20" s="2" t="str">
        <f t="shared" si="17"/>
        <v/>
      </c>
      <c r="R20" s="2" t="str">
        <f t="shared" si="17"/>
        <v/>
      </c>
      <c r="S20" s="46"/>
    </row>
    <row r="21" spans="1:19" ht="15" thickBot="1" x14ac:dyDescent="0.35"/>
    <row r="22" spans="1:19" ht="15" thickBot="1" x14ac:dyDescent="0.35">
      <c r="A22" s="41" t="s">
        <v>10</v>
      </c>
      <c r="B22" s="4" t="s">
        <v>3</v>
      </c>
      <c r="C22" s="7" t="e">
        <f>US!E2+US!#REF!+US!#REF!+US!#REF!</f>
        <v>#REF!</v>
      </c>
      <c r="D22" s="7" t="e">
        <f>US!F2+US!#REF!+US!#REF!+US!#REF!</f>
        <v>#REF!</v>
      </c>
      <c r="E22" s="7" t="e">
        <f>US!G2+US!#REF!+US!#REF!+US!#REF!</f>
        <v>#REF!</v>
      </c>
      <c r="F22" s="7" t="e">
        <f>US!H2+US!#REF!+US!#REF!+US!#REF!</f>
        <v>#REF!</v>
      </c>
      <c r="G22" s="7" t="e">
        <f>US!I2+US!#REF!+US!#REF!+US!#REF!</f>
        <v>#REF!</v>
      </c>
      <c r="H22" s="7" t="e">
        <f>US!J2+US!#REF!+US!#REF!+US!#REF!</f>
        <v>#REF!</v>
      </c>
      <c r="I22" s="7" t="e">
        <f>US!K2+US!#REF!+US!#REF!+US!#REF!</f>
        <v>#REF!</v>
      </c>
      <c r="J22" s="7" t="e">
        <f>US!L2+US!#REF!+US!#REF!+US!#REF!</f>
        <v>#REF!</v>
      </c>
      <c r="K22" s="7" t="e">
        <f>US!M2+US!#REF!+US!#REF!+US!#REF!</f>
        <v>#REF!</v>
      </c>
      <c r="L22" s="7" t="e">
        <f>US!N2+US!#REF!+US!#REF!+US!#REF!</f>
        <v>#REF!</v>
      </c>
      <c r="M22" s="7" t="e">
        <f>US!O2+US!#REF!+US!#REF!+US!#REF!</f>
        <v>#REF!</v>
      </c>
      <c r="N22" s="7" t="e">
        <f>US!P2+US!#REF!+US!#REF!+US!#REF!</f>
        <v>#REF!</v>
      </c>
      <c r="O22" s="7" t="e">
        <f>US!Q2+US!#REF!+US!#REF!+US!#REF!</f>
        <v>#REF!</v>
      </c>
      <c r="P22" s="7" t="e">
        <f>US!R2+US!#REF!+US!#REF!+US!#REF!</f>
        <v>#REF!</v>
      </c>
      <c r="Q22" s="7" t="e">
        <f>US!S2+US!#REF!+US!#REF!+US!#REF!</f>
        <v>#REF!</v>
      </c>
      <c r="R22" s="7" t="e">
        <f>US!T2+US!#REF!+US!#REF!+US!#REF!</f>
        <v>#REF!</v>
      </c>
      <c r="S22" s="44"/>
    </row>
    <row r="23" spans="1:19" ht="15" thickBot="1" x14ac:dyDescent="0.35">
      <c r="A23" s="42"/>
      <c r="B23" s="5" t="s">
        <v>4</v>
      </c>
      <c r="C23" s="8" t="e">
        <f>US!E3+US!#REF!+US!#REF!+US!#REF!</f>
        <v>#REF!</v>
      </c>
      <c r="D23" s="9" t="e">
        <f>US!F3+US!#REF!+US!#REF!+US!#REF!</f>
        <v>#REF!</v>
      </c>
      <c r="E23" s="9" t="e">
        <f>US!G3+US!#REF!+US!#REF!+US!#REF!</f>
        <v>#REF!</v>
      </c>
      <c r="F23" s="9" t="e">
        <f>US!H3+US!#REF!+US!#REF!+US!#REF!</f>
        <v>#REF!</v>
      </c>
      <c r="G23" s="9" t="e">
        <f>US!I3+US!#REF!+US!#REF!+US!#REF!</f>
        <v>#REF!</v>
      </c>
      <c r="H23" s="9" t="e">
        <f>US!J3+US!#REF!+US!#REF!+US!#REF!</f>
        <v>#REF!</v>
      </c>
      <c r="I23" s="9" t="e">
        <f>US!K3+US!#REF!+US!#REF!+US!#REF!</f>
        <v>#REF!</v>
      </c>
      <c r="J23" s="10" t="e">
        <f>US!L3+US!#REF!+US!#REF!+US!#REF!</f>
        <v>#REF!</v>
      </c>
      <c r="K23" s="9" t="e">
        <f>US!M3+US!#REF!+US!#REF!+US!#REF!</f>
        <v>#REF!</v>
      </c>
      <c r="L23" s="9" t="e">
        <f>US!N3+US!#REF!+US!#REF!+US!#REF!</f>
        <v>#REF!</v>
      </c>
      <c r="M23" s="9" t="e">
        <f>US!O3+US!#REF!+US!#REF!+US!#REF!</f>
        <v>#REF!</v>
      </c>
      <c r="N23" s="9" t="e">
        <f>US!P3+US!#REF!+US!#REF!+US!#REF!</f>
        <v>#REF!</v>
      </c>
      <c r="O23" s="9" t="e">
        <f>US!Q3+US!#REF!+US!#REF!+US!#REF!</f>
        <v>#REF!</v>
      </c>
      <c r="P23" s="9" t="e">
        <f>US!R3+US!#REF!+US!#REF!+US!#REF!</f>
        <v>#REF!</v>
      </c>
      <c r="Q23" s="9" t="e">
        <f>US!S3+US!#REF!+US!#REF!+US!#REF!</f>
        <v>#REF!</v>
      </c>
      <c r="R23" s="9" t="e">
        <f>US!T3+US!#REF!+US!#REF!+US!#REF!</f>
        <v>#REF!</v>
      </c>
      <c r="S23" s="45"/>
    </row>
    <row r="24" spans="1:19" ht="15" thickBot="1" x14ac:dyDescent="0.35">
      <c r="A24" s="43"/>
      <c r="B24" s="6" t="s">
        <v>5</v>
      </c>
      <c r="C24" s="3" t="str">
        <f>IFERROR(C23/C22,"")</f>
        <v/>
      </c>
      <c r="D24" s="1" t="str">
        <f t="shared" ref="D24:R24" si="18">IFERROR(D23/D22,"")</f>
        <v/>
      </c>
      <c r="E24" s="1" t="str">
        <f t="shared" si="18"/>
        <v/>
      </c>
      <c r="F24" s="1" t="str">
        <f t="shared" si="18"/>
        <v/>
      </c>
      <c r="G24" s="1" t="str">
        <f t="shared" si="18"/>
        <v/>
      </c>
      <c r="H24" s="1" t="str">
        <f t="shared" si="18"/>
        <v/>
      </c>
      <c r="I24" s="1" t="str">
        <f t="shared" si="18"/>
        <v/>
      </c>
      <c r="J24" s="2" t="str">
        <f t="shared" si="18"/>
        <v/>
      </c>
      <c r="K24" s="2" t="str">
        <f t="shared" si="18"/>
        <v/>
      </c>
      <c r="L24" s="2" t="str">
        <f t="shared" si="18"/>
        <v/>
      </c>
      <c r="M24" s="2" t="str">
        <f t="shared" si="18"/>
        <v/>
      </c>
      <c r="N24" s="2" t="str">
        <f t="shared" si="18"/>
        <v/>
      </c>
      <c r="O24" s="2" t="str">
        <f t="shared" si="18"/>
        <v/>
      </c>
      <c r="P24" s="2" t="str">
        <f t="shared" si="18"/>
        <v/>
      </c>
      <c r="Q24" s="2" t="str">
        <f t="shared" si="18"/>
        <v/>
      </c>
      <c r="R24" s="2" t="str">
        <f t="shared" si="18"/>
        <v/>
      </c>
      <c r="S24" s="46"/>
    </row>
    <row r="25" spans="1:19" ht="15" thickBot="1" x14ac:dyDescent="0.35"/>
    <row r="26" spans="1:19" ht="15" thickBot="1" x14ac:dyDescent="0.35">
      <c r="A26" s="41" t="s">
        <v>11</v>
      </c>
      <c r="B26" s="4" t="s">
        <v>3</v>
      </c>
      <c r="C26" s="7" t="e">
        <f>#REF!+#REF!+#REF!+#REF!+#REF!+#REF!+#REF!+#REF!+#REF!</f>
        <v>#REF!</v>
      </c>
      <c r="D26" s="7" t="e">
        <f>#REF!+#REF!+#REF!+#REF!+#REF!+#REF!+#REF!+#REF!+#REF!</f>
        <v>#REF!</v>
      </c>
      <c r="E26" s="7" t="e">
        <f>#REF!+#REF!+#REF!+#REF!+#REF!+#REF!+#REF!+#REF!+#REF!</f>
        <v>#REF!</v>
      </c>
      <c r="F26" s="7" t="e">
        <f>#REF!+#REF!+#REF!+#REF!+#REF!+#REF!+#REF!+#REF!+#REF!</f>
        <v>#REF!</v>
      </c>
      <c r="G26" s="7" t="e">
        <f>#REF!+#REF!+#REF!+#REF!+#REF!+#REF!+#REF!+#REF!+#REF!</f>
        <v>#REF!</v>
      </c>
      <c r="H26" s="7" t="e">
        <f>#REF!+#REF!+#REF!+#REF!+#REF!+#REF!+#REF!+#REF!+#REF!</f>
        <v>#REF!</v>
      </c>
      <c r="I26" s="7" t="e">
        <f>#REF!+#REF!+#REF!+#REF!+#REF!+#REF!+#REF!+#REF!+#REF!</f>
        <v>#REF!</v>
      </c>
      <c r="J26" s="7" t="e">
        <f>#REF!+#REF!+#REF!+#REF!+#REF!+#REF!+#REF!+#REF!+#REF!</f>
        <v>#REF!</v>
      </c>
      <c r="K26" s="7" t="e">
        <f>#REF!+#REF!+#REF!+#REF!+#REF!+#REF!+#REF!+#REF!+#REF!</f>
        <v>#REF!</v>
      </c>
      <c r="L26" s="7" t="e">
        <f>#REF!+#REF!+#REF!+#REF!+#REF!+#REF!+#REF!+#REF!+#REF!</f>
        <v>#REF!</v>
      </c>
      <c r="M26" s="7" t="e">
        <f>#REF!+#REF!+#REF!+#REF!+#REF!+#REF!+#REF!+#REF!+#REF!</f>
        <v>#REF!</v>
      </c>
      <c r="N26" s="7" t="e">
        <f>#REF!+#REF!+#REF!+#REF!+#REF!+#REF!+#REF!+#REF!+#REF!</f>
        <v>#REF!</v>
      </c>
      <c r="O26" s="7" t="e">
        <f>#REF!+#REF!+#REF!+#REF!+#REF!+#REF!+#REF!+#REF!+#REF!</f>
        <v>#REF!</v>
      </c>
      <c r="P26" s="7" t="e">
        <f>#REF!+#REF!+#REF!+#REF!+#REF!+#REF!+#REF!+#REF!+#REF!</f>
        <v>#REF!</v>
      </c>
      <c r="Q26" s="7" t="e">
        <f>#REF!+#REF!+#REF!+#REF!+#REF!+#REF!+#REF!+#REF!+#REF!</f>
        <v>#REF!</v>
      </c>
      <c r="R26" s="7" t="e">
        <f>#REF!+#REF!+#REF!+#REF!+#REF!+#REF!+#REF!+#REF!+#REF!</f>
        <v>#REF!</v>
      </c>
      <c r="S26" s="44"/>
    </row>
    <row r="27" spans="1:19" ht="15" thickBot="1" x14ac:dyDescent="0.35">
      <c r="A27" s="42"/>
      <c r="B27" s="5" t="s">
        <v>4</v>
      </c>
      <c r="C27" s="8" t="e">
        <f>#REF!+#REF!+#REF!+#REF!+#REF!+#REF!+#REF!+#REF!+#REF!</f>
        <v>#REF!</v>
      </c>
      <c r="D27" s="9" t="e">
        <f>#REF!+#REF!+#REF!+#REF!+#REF!+#REF!+#REF!+#REF!+#REF!</f>
        <v>#REF!</v>
      </c>
      <c r="E27" s="9" t="e">
        <f>#REF!+#REF!+#REF!+#REF!+#REF!+#REF!+#REF!+#REF!+#REF!</f>
        <v>#REF!</v>
      </c>
      <c r="F27" s="9" t="e">
        <f>#REF!+#REF!+#REF!+#REF!+#REF!+#REF!+#REF!+#REF!+#REF!</f>
        <v>#REF!</v>
      </c>
      <c r="G27" s="9" t="e">
        <f>#REF!+#REF!+#REF!+#REF!+#REF!+#REF!+#REF!+#REF!+#REF!</f>
        <v>#REF!</v>
      </c>
      <c r="H27" s="9" t="e">
        <f>#REF!+#REF!+#REF!+#REF!+#REF!+#REF!+#REF!+#REF!+#REF!</f>
        <v>#REF!</v>
      </c>
      <c r="I27" s="9" t="e">
        <f>#REF!+#REF!+#REF!+#REF!+#REF!+#REF!+#REF!+#REF!+#REF!</f>
        <v>#REF!</v>
      </c>
      <c r="J27" s="10" t="e">
        <f>#REF!+#REF!+#REF!+#REF!+#REF!+#REF!+#REF!+#REF!+#REF!</f>
        <v>#REF!</v>
      </c>
      <c r="K27" s="9" t="e">
        <f>#REF!+#REF!+#REF!+#REF!+#REF!+#REF!+#REF!+#REF!+#REF!</f>
        <v>#REF!</v>
      </c>
      <c r="L27" s="9" t="e">
        <f>#REF!+#REF!+#REF!+#REF!+#REF!+#REF!+#REF!+#REF!+#REF!</f>
        <v>#REF!</v>
      </c>
      <c r="M27" s="9" t="e">
        <f>#REF!+#REF!+#REF!+#REF!+#REF!+#REF!+#REF!+#REF!+#REF!</f>
        <v>#REF!</v>
      </c>
      <c r="N27" s="9" t="e">
        <f>#REF!+#REF!+#REF!+#REF!+#REF!+#REF!+#REF!+#REF!+#REF!</f>
        <v>#REF!</v>
      </c>
      <c r="O27" s="9" t="e">
        <f>#REF!+#REF!+#REF!+#REF!+#REF!+#REF!+#REF!+#REF!+#REF!</f>
        <v>#REF!</v>
      </c>
      <c r="P27" s="9" t="e">
        <f>#REF!+#REF!+#REF!+#REF!+#REF!+#REF!+#REF!+#REF!+#REF!</f>
        <v>#REF!</v>
      </c>
      <c r="Q27" s="9" t="e">
        <f>#REF!+#REF!+#REF!+#REF!+#REF!+#REF!+#REF!+#REF!+#REF!</f>
        <v>#REF!</v>
      </c>
      <c r="R27" s="9" t="e">
        <f>#REF!+#REF!+#REF!+#REF!+#REF!+#REF!+#REF!+#REF!+#REF!</f>
        <v>#REF!</v>
      </c>
      <c r="S27" s="45"/>
    </row>
    <row r="28" spans="1:19" ht="15" thickBot="1" x14ac:dyDescent="0.35">
      <c r="A28" s="43"/>
      <c r="B28" s="6" t="s">
        <v>5</v>
      </c>
      <c r="C28" s="3" t="str">
        <f>IFERROR(C27/C26,"")</f>
        <v/>
      </c>
      <c r="D28" s="1" t="str">
        <f t="shared" ref="D28:R28" si="19">IFERROR(D27/D26,"")</f>
        <v/>
      </c>
      <c r="E28" s="1" t="str">
        <f t="shared" si="19"/>
        <v/>
      </c>
      <c r="F28" s="1" t="str">
        <f t="shared" si="19"/>
        <v/>
      </c>
      <c r="G28" s="1" t="str">
        <f t="shared" si="19"/>
        <v/>
      </c>
      <c r="H28" s="1" t="str">
        <f t="shared" si="19"/>
        <v/>
      </c>
      <c r="I28" s="1" t="str">
        <f t="shared" si="19"/>
        <v/>
      </c>
      <c r="J28" s="2" t="str">
        <f t="shared" si="19"/>
        <v/>
      </c>
      <c r="K28" s="2" t="str">
        <f t="shared" si="19"/>
        <v/>
      </c>
      <c r="L28" s="2" t="str">
        <f t="shared" si="19"/>
        <v/>
      </c>
      <c r="M28" s="2" t="str">
        <f t="shared" si="19"/>
        <v/>
      </c>
      <c r="N28" s="2" t="str">
        <f t="shared" si="19"/>
        <v/>
      </c>
      <c r="O28" s="2" t="str">
        <f t="shared" si="19"/>
        <v/>
      </c>
      <c r="P28" s="2" t="str">
        <f t="shared" si="19"/>
        <v/>
      </c>
      <c r="Q28" s="2" t="str">
        <f t="shared" si="19"/>
        <v/>
      </c>
      <c r="R28" s="2" t="str">
        <f t="shared" si="19"/>
        <v/>
      </c>
      <c r="S28" s="46"/>
    </row>
    <row r="29" spans="1:19" ht="15" thickBot="1" x14ac:dyDescent="0.35"/>
    <row r="30" spans="1:19" ht="15" thickBot="1" x14ac:dyDescent="0.35">
      <c r="A30" s="41" t="s">
        <v>12</v>
      </c>
      <c r="B30" s="4" t="s">
        <v>3</v>
      </c>
      <c r="C30" s="7" t="e">
        <f>#REF!+#REF!+#REF!+#REF!+#REF!</f>
        <v>#REF!</v>
      </c>
      <c r="D30" s="7" t="e">
        <f>#REF!+#REF!+#REF!+#REF!+#REF!</f>
        <v>#REF!</v>
      </c>
      <c r="E30" s="7" t="e">
        <f>#REF!+#REF!+#REF!+#REF!+#REF!</f>
        <v>#REF!</v>
      </c>
      <c r="F30" s="7" t="e">
        <f>#REF!+#REF!+#REF!+#REF!+#REF!</f>
        <v>#REF!</v>
      </c>
      <c r="G30" s="7" t="e">
        <f>#REF!+#REF!+#REF!+#REF!+#REF!</f>
        <v>#REF!</v>
      </c>
      <c r="H30" s="7" t="e">
        <f>#REF!+#REF!+#REF!+#REF!+#REF!</f>
        <v>#REF!</v>
      </c>
      <c r="I30" s="7" t="e">
        <f>#REF!+#REF!+#REF!+#REF!+#REF!</f>
        <v>#REF!</v>
      </c>
      <c r="J30" s="7" t="e">
        <f>#REF!+#REF!+#REF!+#REF!+#REF!</f>
        <v>#REF!</v>
      </c>
      <c r="K30" s="7" t="e">
        <f>#REF!+#REF!+#REF!+#REF!+#REF!</f>
        <v>#REF!</v>
      </c>
      <c r="L30" s="7" t="e">
        <f>#REF!+#REF!+#REF!+#REF!+#REF!</f>
        <v>#REF!</v>
      </c>
      <c r="M30" s="7" t="e">
        <f>#REF!+#REF!+#REF!+#REF!+#REF!</f>
        <v>#REF!</v>
      </c>
      <c r="N30" s="7" t="e">
        <f>#REF!+#REF!+#REF!+#REF!+#REF!</f>
        <v>#REF!</v>
      </c>
      <c r="O30" s="7" t="e">
        <f>#REF!+#REF!+#REF!+#REF!+#REF!</f>
        <v>#REF!</v>
      </c>
      <c r="P30" s="7" t="e">
        <f>#REF!+#REF!+#REF!+#REF!+#REF!</f>
        <v>#REF!</v>
      </c>
      <c r="Q30" s="7" t="e">
        <f>#REF!+#REF!+#REF!+#REF!+#REF!</f>
        <v>#REF!</v>
      </c>
      <c r="R30" s="7" t="e">
        <f>#REF!+#REF!+#REF!+#REF!+#REF!</f>
        <v>#REF!</v>
      </c>
      <c r="S30" s="44"/>
    </row>
    <row r="31" spans="1:19" ht="15" thickBot="1" x14ac:dyDescent="0.35">
      <c r="A31" s="42"/>
      <c r="B31" s="5" t="s">
        <v>4</v>
      </c>
      <c r="C31" s="8" t="e">
        <f>#REF!+#REF!+#REF!+#REF!+#REF!</f>
        <v>#REF!</v>
      </c>
      <c r="D31" s="9" t="e">
        <f>#REF!+#REF!+#REF!+#REF!+#REF!</f>
        <v>#REF!</v>
      </c>
      <c r="E31" s="9" t="e">
        <f>#REF!+#REF!+#REF!+#REF!+#REF!</f>
        <v>#REF!</v>
      </c>
      <c r="F31" s="9" t="e">
        <f>#REF!+#REF!+#REF!+#REF!+#REF!</f>
        <v>#REF!</v>
      </c>
      <c r="G31" s="9" t="e">
        <f>#REF!+#REF!+#REF!+#REF!+#REF!</f>
        <v>#REF!</v>
      </c>
      <c r="H31" s="9" t="e">
        <f>#REF!+#REF!+#REF!+#REF!+#REF!</f>
        <v>#REF!</v>
      </c>
      <c r="I31" s="9" t="e">
        <f>#REF!+#REF!+#REF!+#REF!+#REF!</f>
        <v>#REF!</v>
      </c>
      <c r="J31" s="10" t="e">
        <f>#REF!+#REF!+#REF!+#REF!+#REF!</f>
        <v>#REF!</v>
      </c>
      <c r="K31" s="9" t="e">
        <f>#REF!+#REF!+#REF!+#REF!+#REF!</f>
        <v>#REF!</v>
      </c>
      <c r="L31" s="9" t="e">
        <f>#REF!+#REF!+#REF!+#REF!+#REF!</f>
        <v>#REF!</v>
      </c>
      <c r="M31" s="9" t="e">
        <f>#REF!+#REF!+#REF!+#REF!+#REF!</f>
        <v>#REF!</v>
      </c>
      <c r="N31" s="9" t="e">
        <f>#REF!+#REF!+#REF!+#REF!+#REF!</f>
        <v>#REF!</v>
      </c>
      <c r="O31" s="9" t="e">
        <f>#REF!+#REF!+#REF!+#REF!+#REF!</f>
        <v>#REF!</v>
      </c>
      <c r="P31" s="9" t="e">
        <f>#REF!+#REF!+#REF!+#REF!+#REF!</f>
        <v>#REF!</v>
      </c>
      <c r="Q31" s="9" t="e">
        <f>#REF!+#REF!+#REF!+#REF!+#REF!</f>
        <v>#REF!</v>
      </c>
      <c r="R31" s="9" t="e">
        <f>#REF!+#REF!+#REF!+#REF!+#REF!</f>
        <v>#REF!</v>
      </c>
      <c r="S31" s="45"/>
    </row>
    <row r="32" spans="1:19" ht="15" thickBot="1" x14ac:dyDescent="0.35">
      <c r="A32" s="43"/>
      <c r="B32" s="6" t="s">
        <v>5</v>
      </c>
      <c r="C32" s="3" t="str">
        <f>IFERROR(C31/C30,"")</f>
        <v/>
      </c>
      <c r="D32" s="1" t="str">
        <f t="shared" ref="D32:R32" si="20">IFERROR(D31/D30,"")</f>
        <v/>
      </c>
      <c r="E32" s="1" t="str">
        <f t="shared" si="20"/>
        <v/>
      </c>
      <c r="F32" s="1" t="str">
        <f t="shared" si="20"/>
        <v/>
      </c>
      <c r="G32" s="1" t="str">
        <f t="shared" si="20"/>
        <v/>
      </c>
      <c r="H32" s="1" t="str">
        <f t="shared" si="20"/>
        <v/>
      </c>
      <c r="I32" s="1" t="str">
        <f t="shared" si="20"/>
        <v/>
      </c>
      <c r="J32" s="2" t="str">
        <f t="shared" si="20"/>
        <v/>
      </c>
      <c r="K32" s="2" t="str">
        <f t="shared" si="20"/>
        <v/>
      </c>
      <c r="L32" s="2" t="str">
        <f t="shared" si="20"/>
        <v/>
      </c>
      <c r="M32" s="2" t="str">
        <f t="shared" si="20"/>
        <v/>
      </c>
      <c r="N32" s="2" t="str">
        <f t="shared" si="20"/>
        <v/>
      </c>
      <c r="O32" s="2" t="str">
        <f t="shared" si="20"/>
        <v/>
      </c>
      <c r="P32" s="2" t="str">
        <f t="shared" si="20"/>
        <v/>
      </c>
      <c r="Q32" s="2" t="str">
        <f t="shared" si="20"/>
        <v/>
      </c>
      <c r="R32" s="2" t="str">
        <f t="shared" si="20"/>
        <v/>
      </c>
      <c r="S32" s="46"/>
    </row>
  </sheetData>
  <mergeCells count="17">
    <mergeCell ref="A18:A20"/>
    <mergeCell ref="S18:S20"/>
    <mergeCell ref="A2:A4"/>
    <mergeCell ref="A6:A8"/>
    <mergeCell ref="A10:A12"/>
    <mergeCell ref="A1:B1"/>
    <mergeCell ref="S2:S4"/>
    <mergeCell ref="S6:S8"/>
    <mergeCell ref="S10:S12"/>
    <mergeCell ref="A14:A16"/>
    <mergeCell ref="S14:S16"/>
    <mergeCell ref="A30:A32"/>
    <mergeCell ref="S30:S32"/>
    <mergeCell ref="A22:A24"/>
    <mergeCell ref="S22:S24"/>
    <mergeCell ref="A26:A28"/>
    <mergeCell ref="S26:S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D642-FA2B-4AB0-AC7B-5F4A3415D264}">
  <dimension ref="A1:EY35"/>
  <sheetViews>
    <sheetView showGridLines="0" topLeftCell="B1" workbookViewId="0">
      <selection activeCell="FB22" sqref="FB22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8" width="8.88671875" hidden="1" customWidth="1"/>
    <col min="109" max="114" width="0" hidden="1" customWidth="1"/>
    <col min="115" max="130" width="8.88671875" hidden="1" customWidth="1"/>
    <col min="131" max="134" width="9" hidden="1" customWidth="1"/>
    <col min="135" max="150" width="9" customWidth="1"/>
    <col min="151" max="155" width="9" hidden="1" customWidth="1"/>
    <col min="156" max="156" width="9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AW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ref="AX1" si="1">AW1+7</f>
        <v>45655</v>
      </c>
      <c r="AY1" s="14">
        <f t="shared" ref="AY1" si="2">AX1+7</f>
        <v>45662</v>
      </c>
      <c r="AZ1" s="14">
        <f t="shared" ref="AZ1" si="3">AY1+7</f>
        <v>45669</v>
      </c>
      <c r="BA1" s="14">
        <f t="shared" ref="BA1:BB1" si="4">AZ1+7</f>
        <v>45676</v>
      </c>
      <c r="BB1" s="14">
        <f t="shared" si="4"/>
        <v>45683</v>
      </c>
      <c r="BC1" s="14">
        <f t="shared" ref="BC1" si="5">BB1+7</f>
        <v>45690</v>
      </c>
      <c r="BD1" s="14">
        <f t="shared" ref="BD1" si="6">BC1+7</f>
        <v>45697</v>
      </c>
      <c r="BE1" s="14">
        <f t="shared" ref="BE1" si="7">BD1+7</f>
        <v>45704</v>
      </c>
      <c r="BF1" s="14">
        <f t="shared" ref="BF1" si="8">BE1+7</f>
        <v>45711</v>
      </c>
      <c r="BG1" s="14">
        <f t="shared" ref="BG1" si="9">BF1+7</f>
        <v>45718</v>
      </c>
      <c r="BH1" s="14">
        <f t="shared" ref="BH1" si="10">BG1+7</f>
        <v>45725</v>
      </c>
      <c r="BI1" s="14">
        <f t="shared" ref="BI1" si="11">BH1+7</f>
        <v>45732</v>
      </c>
      <c r="BJ1" s="14">
        <f t="shared" ref="BJ1" si="12">BI1+7</f>
        <v>45739</v>
      </c>
      <c r="BK1" s="14">
        <f t="shared" ref="BK1" si="13">BJ1+7</f>
        <v>45746</v>
      </c>
      <c r="BL1" s="14">
        <f t="shared" ref="BL1" si="14">BK1+7</f>
        <v>45753</v>
      </c>
      <c r="BM1" s="14">
        <f t="shared" ref="BM1" si="15">BL1+7</f>
        <v>45760</v>
      </c>
      <c r="BN1" s="14">
        <f t="shared" ref="BN1:BO1" si="16">BM1+7</f>
        <v>45767</v>
      </c>
      <c r="BO1" s="14">
        <f t="shared" si="16"/>
        <v>45774</v>
      </c>
      <c r="BP1" s="14">
        <f t="shared" ref="BP1" si="17">BO1+7</f>
        <v>45781</v>
      </c>
      <c r="BQ1" s="14">
        <f t="shared" ref="BQ1" si="18">BP1+7</f>
        <v>45788</v>
      </c>
      <c r="BR1" s="14">
        <f t="shared" ref="BR1" si="19">BQ1+7</f>
        <v>45795</v>
      </c>
      <c r="BS1" s="14">
        <f t="shared" ref="BS1" si="20">BR1+7</f>
        <v>45802</v>
      </c>
      <c r="BT1" s="14">
        <f t="shared" ref="BT1" si="21">BS1+7</f>
        <v>45809</v>
      </c>
      <c r="BU1" s="14">
        <f t="shared" ref="BU1" si="22">BT1+7</f>
        <v>45816</v>
      </c>
      <c r="BV1" s="14">
        <f t="shared" ref="BV1" si="23">BU1+7</f>
        <v>45823</v>
      </c>
      <c r="BW1" s="14">
        <f t="shared" ref="BW1" si="24">BV1+7</f>
        <v>45830</v>
      </c>
      <c r="BX1" s="14">
        <f t="shared" ref="BX1" si="25">BW1+7</f>
        <v>45837</v>
      </c>
      <c r="BY1" s="14">
        <f t="shared" ref="BY1" si="26">BX1+7</f>
        <v>45844</v>
      </c>
      <c r="BZ1" s="14">
        <f t="shared" ref="BZ1" si="27">BY1+7</f>
        <v>45851</v>
      </c>
      <c r="CA1" s="14">
        <f t="shared" ref="CA1" si="28">BZ1+7</f>
        <v>45858</v>
      </c>
      <c r="CB1" s="14">
        <f t="shared" ref="CB1" si="29">CA1+7</f>
        <v>45865</v>
      </c>
      <c r="CC1" s="14">
        <f t="shared" ref="CC1" si="30">CB1+7</f>
        <v>45872</v>
      </c>
      <c r="CD1" s="14">
        <f t="shared" ref="CD1" si="31">CC1+7</f>
        <v>45879</v>
      </c>
      <c r="CE1" s="14">
        <f t="shared" ref="CE1" si="32">CD1+7</f>
        <v>45886</v>
      </c>
      <c r="CF1" s="14">
        <f t="shared" ref="CF1" si="33">CE1+7</f>
        <v>45893</v>
      </c>
      <c r="CG1" s="14">
        <f t="shared" ref="CG1" si="34">CF1+7</f>
        <v>45900</v>
      </c>
      <c r="CH1" s="14">
        <f t="shared" ref="CH1" si="35">CG1+7</f>
        <v>45907</v>
      </c>
      <c r="CI1" s="14">
        <f t="shared" ref="CI1" si="36">CH1+7</f>
        <v>45914</v>
      </c>
      <c r="CJ1" s="14">
        <f t="shared" ref="CJ1" si="37">CI1+7</f>
        <v>45921</v>
      </c>
      <c r="CK1" s="14">
        <f t="shared" ref="CK1" si="38">CJ1+7</f>
        <v>45928</v>
      </c>
      <c r="CL1" s="14">
        <f t="shared" ref="CL1" si="39">CK1+7</f>
        <v>45935</v>
      </c>
      <c r="CM1" s="14">
        <f t="shared" ref="CM1" si="40">CL1+7</f>
        <v>45942</v>
      </c>
      <c r="CN1" s="14">
        <f t="shared" ref="CN1" si="41">CM1+7</f>
        <v>45949</v>
      </c>
      <c r="CO1" s="14">
        <f t="shared" ref="CO1" si="42">CN1+7</f>
        <v>45956</v>
      </c>
      <c r="CP1" s="14">
        <f t="shared" ref="CP1" si="43">CO1+7</f>
        <v>45963</v>
      </c>
      <c r="CQ1" s="14">
        <f t="shared" ref="CQ1" si="44">CP1+7</f>
        <v>45970</v>
      </c>
      <c r="CR1" s="14">
        <f t="shared" ref="CR1" si="45">CQ1+7</f>
        <v>45977</v>
      </c>
      <c r="CS1" s="14">
        <f t="shared" ref="CS1" si="46">CR1+7</f>
        <v>45984</v>
      </c>
      <c r="CT1" s="14">
        <f t="shared" ref="CT1" si="47">CS1+7</f>
        <v>45991</v>
      </c>
      <c r="CU1" s="14">
        <f t="shared" ref="CU1" si="48">CT1+7</f>
        <v>45998</v>
      </c>
      <c r="CV1" s="14">
        <f t="shared" ref="CV1" si="49">CU1+7</f>
        <v>46005</v>
      </c>
      <c r="CW1" s="14">
        <f t="shared" ref="CW1:CY1" si="50">CV1+7</f>
        <v>46012</v>
      </c>
      <c r="CX1" s="14">
        <f t="shared" si="50"/>
        <v>46019</v>
      </c>
      <c r="CY1" s="14">
        <f t="shared" si="50"/>
        <v>46026</v>
      </c>
      <c r="CZ1" s="14">
        <f t="shared" ref="CZ1" si="51">CY1+7</f>
        <v>46033</v>
      </c>
      <c r="DA1" s="14">
        <f t="shared" ref="DA1" si="52">CZ1+7</f>
        <v>46040</v>
      </c>
      <c r="DB1" s="14">
        <f t="shared" ref="DB1" si="53">DA1+7</f>
        <v>46047</v>
      </c>
      <c r="DC1" s="14">
        <f t="shared" ref="DC1" si="54">DB1+7</f>
        <v>46054</v>
      </c>
      <c r="DD1" s="14">
        <f t="shared" ref="DD1" si="55">DC1+7</f>
        <v>46061</v>
      </c>
      <c r="DE1" s="14">
        <f t="shared" ref="DE1" si="56">DD1+7</f>
        <v>46068</v>
      </c>
      <c r="DF1" s="14">
        <f t="shared" ref="DF1" si="57">DE1+7</f>
        <v>46075</v>
      </c>
      <c r="DG1" s="14">
        <f t="shared" ref="DG1" si="58">DF1+7</f>
        <v>46082</v>
      </c>
      <c r="DH1" s="14">
        <f t="shared" ref="DH1" si="59">DG1+7</f>
        <v>46089</v>
      </c>
      <c r="DI1" s="14">
        <f t="shared" ref="DI1" si="60">DH1+7</f>
        <v>46096</v>
      </c>
      <c r="DJ1" s="14">
        <f t="shared" ref="DJ1" si="61">DI1+7</f>
        <v>46103</v>
      </c>
      <c r="DK1" s="14">
        <f t="shared" ref="DK1" si="62">DJ1+7</f>
        <v>46110</v>
      </c>
      <c r="DL1" s="14">
        <f t="shared" ref="DL1" si="63">DK1+7</f>
        <v>46117</v>
      </c>
      <c r="DM1" s="14">
        <f t="shared" ref="DM1" si="64">DL1+7</f>
        <v>46124</v>
      </c>
      <c r="DN1" s="14">
        <f t="shared" ref="DN1" si="65">DM1+7</f>
        <v>46131</v>
      </c>
      <c r="DO1" s="14">
        <f t="shared" ref="DO1" si="66">DN1+7</f>
        <v>46138</v>
      </c>
      <c r="DP1" s="14">
        <f t="shared" ref="DP1" si="67">DO1+7</f>
        <v>46145</v>
      </c>
      <c r="DQ1" s="14">
        <f t="shared" ref="DQ1" si="68">DP1+7</f>
        <v>46152</v>
      </c>
      <c r="DR1" s="14">
        <f t="shared" ref="DR1" si="69">DQ1+7</f>
        <v>46159</v>
      </c>
      <c r="DS1" s="14">
        <f t="shared" ref="DS1" si="70">DR1+7</f>
        <v>46166</v>
      </c>
      <c r="DT1" s="14">
        <f t="shared" ref="DT1" si="71">DS1+7</f>
        <v>46173</v>
      </c>
      <c r="DU1" s="14">
        <f t="shared" ref="DU1" si="72">DT1+7</f>
        <v>46180</v>
      </c>
      <c r="DV1" s="14">
        <f t="shared" ref="DV1" si="73">DU1+7</f>
        <v>46187</v>
      </c>
      <c r="DW1" s="14">
        <f t="shared" ref="DW1" si="74">DV1+7</f>
        <v>46194</v>
      </c>
      <c r="DX1" s="14">
        <f t="shared" ref="DX1" si="75">DW1+7</f>
        <v>46201</v>
      </c>
      <c r="DY1" s="14">
        <f t="shared" ref="DY1" si="76">DX1+7</f>
        <v>46208</v>
      </c>
      <c r="DZ1" s="14">
        <f t="shared" ref="DZ1" si="77">DY1+7</f>
        <v>46215</v>
      </c>
      <c r="EA1" s="14">
        <f t="shared" ref="EA1" si="78">DZ1+7</f>
        <v>46222</v>
      </c>
      <c r="EB1" s="14">
        <f t="shared" ref="EB1" si="79">EA1+7</f>
        <v>46229</v>
      </c>
      <c r="EC1" s="14">
        <f t="shared" ref="EC1" si="80">EB1+7</f>
        <v>46236</v>
      </c>
      <c r="ED1" s="14">
        <f t="shared" ref="ED1" si="81">EC1+7</f>
        <v>46243</v>
      </c>
      <c r="EE1" s="14">
        <f t="shared" ref="EE1" si="82">ED1+7</f>
        <v>46250</v>
      </c>
      <c r="EF1" s="14">
        <f t="shared" ref="EF1" si="83">EE1+7</f>
        <v>46257</v>
      </c>
      <c r="EG1" s="14">
        <f t="shared" ref="EG1" si="84">EF1+7</f>
        <v>46264</v>
      </c>
      <c r="EH1" s="14">
        <f t="shared" ref="EH1" si="85">EG1+7</f>
        <v>46271</v>
      </c>
      <c r="EI1" s="14">
        <f t="shared" ref="EI1" si="86">EH1+7</f>
        <v>46278</v>
      </c>
      <c r="EJ1" s="14">
        <f t="shared" ref="EJ1" si="87">EI1+7</f>
        <v>46285</v>
      </c>
      <c r="EK1" s="14">
        <f t="shared" ref="EK1" si="88">EJ1+7</f>
        <v>46292</v>
      </c>
      <c r="EL1" s="14">
        <f t="shared" ref="EL1" si="89">EK1+7</f>
        <v>46299</v>
      </c>
      <c r="EM1" s="14">
        <f t="shared" ref="EM1" si="90">EL1+7</f>
        <v>46306</v>
      </c>
      <c r="EN1" s="14">
        <f t="shared" ref="EN1" si="91">EM1+7</f>
        <v>46313</v>
      </c>
      <c r="EO1" s="14">
        <f t="shared" ref="EO1" si="92">EN1+7</f>
        <v>46320</v>
      </c>
      <c r="EP1" s="14">
        <f t="shared" ref="EP1" si="93">EO1+7</f>
        <v>46327</v>
      </c>
      <c r="EQ1" s="14">
        <f t="shared" ref="EQ1" si="94">EP1+7</f>
        <v>46334</v>
      </c>
      <c r="ER1" s="14">
        <f t="shared" ref="ER1" si="95">EQ1+7</f>
        <v>46341</v>
      </c>
      <c r="ES1" s="14">
        <f t="shared" ref="ES1" si="96">ER1+7</f>
        <v>46348</v>
      </c>
      <c r="ET1" s="14">
        <f t="shared" ref="ET1" si="97">ES1+7</f>
        <v>46355</v>
      </c>
      <c r="EU1" s="14">
        <f t="shared" ref="EU1" si="98">ET1+7</f>
        <v>46362</v>
      </c>
      <c r="EV1" s="14">
        <f t="shared" ref="EV1" si="99">EU1+7</f>
        <v>46369</v>
      </c>
      <c r="EW1" s="14">
        <f t="shared" ref="EW1" si="100">EV1+7</f>
        <v>46376</v>
      </c>
      <c r="EX1" s="14">
        <f t="shared" ref="EX1:EY1" si="101">EW1+7</f>
        <v>46383</v>
      </c>
      <c r="EY1" s="14">
        <f t="shared" si="101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AW6" si="102">E4/E2</f>
        <v>#DIV/0!</v>
      </c>
      <c r="F6" s="19" t="e">
        <f t="shared" si="102"/>
        <v>#DIV/0!</v>
      </c>
      <c r="G6" s="19" t="e">
        <f t="shared" si="102"/>
        <v>#DIV/0!</v>
      </c>
      <c r="H6" s="19" t="e">
        <f t="shared" si="102"/>
        <v>#DIV/0!</v>
      </c>
      <c r="I6" s="19" t="e">
        <f t="shared" si="102"/>
        <v>#DIV/0!</v>
      </c>
      <c r="J6" s="19" t="e">
        <f t="shared" si="102"/>
        <v>#DIV/0!</v>
      </c>
      <c r="K6" s="19" t="e">
        <f t="shared" si="102"/>
        <v>#DIV/0!</v>
      </c>
      <c r="L6" s="19" t="e">
        <f t="shared" si="102"/>
        <v>#DIV/0!</v>
      </c>
      <c r="M6" s="19" t="e">
        <f t="shared" si="102"/>
        <v>#DIV/0!</v>
      </c>
      <c r="N6" s="19" t="e">
        <f t="shared" si="102"/>
        <v>#DIV/0!</v>
      </c>
      <c r="O6" s="19" t="e">
        <f t="shared" si="102"/>
        <v>#DIV/0!</v>
      </c>
      <c r="P6" s="19" t="e">
        <f t="shared" si="102"/>
        <v>#DIV/0!</v>
      </c>
      <c r="Q6" s="19">
        <f t="shared" si="102"/>
        <v>0.89047619047619042</v>
      </c>
      <c r="R6" s="19">
        <f t="shared" si="102"/>
        <v>0.6611785714285715</v>
      </c>
      <c r="S6" s="19">
        <f t="shared" si="102"/>
        <v>0.7212857142857142</v>
      </c>
      <c r="T6" s="19">
        <f t="shared" si="102"/>
        <v>0.36064285714285715</v>
      </c>
      <c r="U6" s="19">
        <f t="shared" si="102"/>
        <v>0.71562857142857139</v>
      </c>
      <c r="V6" s="19">
        <f t="shared" si="102"/>
        <v>1.0578857142857141</v>
      </c>
      <c r="W6" s="19">
        <f t="shared" si="102"/>
        <v>0.5714285714285714</v>
      </c>
      <c r="X6" s="19">
        <f t="shared" si="102"/>
        <v>0.8928571428571429</v>
      </c>
      <c r="Y6" s="19">
        <f t="shared" si="102"/>
        <v>0.8571428571428571</v>
      </c>
      <c r="Z6" s="19">
        <f t="shared" si="102"/>
        <v>0.8571428571428571</v>
      </c>
      <c r="AA6" s="19">
        <f t="shared" si="102"/>
        <v>0.8571428571428571</v>
      </c>
      <c r="AB6" s="19">
        <f t="shared" si="102"/>
        <v>0.7857142857142857</v>
      </c>
      <c r="AC6" s="19">
        <f t="shared" si="102"/>
        <v>0.6785714285714286</v>
      </c>
      <c r="AD6" s="19">
        <f t="shared" si="102"/>
        <v>1</v>
      </c>
      <c r="AE6" s="19">
        <f t="shared" si="102"/>
        <v>0.42857142857142855</v>
      </c>
      <c r="AF6" s="19">
        <f t="shared" si="102"/>
        <v>0.75</v>
      </c>
      <c r="AG6" s="19">
        <f t="shared" si="102"/>
        <v>0.75</v>
      </c>
      <c r="AH6" s="19">
        <f t="shared" si="102"/>
        <v>0.6071428571428571</v>
      </c>
      <c r="AI6" s="19">
        <f t="shared" si="102"/>
        <v>0.5714285714285714</v>
      </c>
      <c r="AJ6" s="19">
        <f t="shared" si="102"/>
        <v>0.8214285714285714</v>
      </c>
      <c r="AK6" s="19">
        <f t="shared" si="102"/>
        <v>0.7857142857142857</v>
      </c>
      <c r="AL6" s="19">
        <f t="shared" si="102"/>
        <v>0.7857142857142857</v>
      </c>
      <c r="AM6" s="19">
        <f t="shared" si="102"/>
        <v>0.75</v>
      </c>
      <c r="AN6" s="19">
        <f t="shared" si="102"/>
        <v>0.7142857142857143</v>
      </c>
      <c r="AO6" s="19">
        <f t="shared" si="102"/>
        <v>0.7142857142857143</v>
      </c>
      <c r="AP6" s="19">
        <f t="shared" si="102"/>
        <v>0.7142857142857143</v>
      </c>
      <c r="AQ6" s="19">
        <f t="shared" si="102"/>
        <v>0.7142857142857143</v>
      </c>
      <c r="AR6" s="19">
        <f t="shared" si="102"/>
        <v>0.9642857142857143</v>
      </c>
      <c r="AS6" s="19">
        <f t="shared" si="102"/>
        <v>1.2142857142857142</v>
      </c>
      <c r="AT6" s="19">
        <f t="shared" si="102"/>
        <v>1.2142857142857142</v>
      </c>
      <c r="AU6" s="19">
        <f t="shared" si="102"/>
        <v>1.2857142857142858</v>
      </c>
      <c r="AV6" s="19">
        <f t="shared" si="102"/>
        <v>1.2142857142857142</v>
      </c>
      <c r="AW6" s="19">
        <f t="shared" si="102"/>
        <v>1.2142857142857142</v>
      </c>
      <c r="AX6" s="19" t="e">
        <f t="shared" ref="AX6:BB6" si="103">AX4/AX2</f>
        <v>#DIV/0!</v>
      </c>
      <c r="AY6" s="19" t="e">
        <f t="shared" si="103"/>
        <v>#DIV/0!</v>
      </c>
      <c r="AZ6" s="19" t="e">
        <f t="shared" si="103"/>
        <v>#DIV/0!</v>
      </c>
      <c r="BA6" s="19" t="e">
        <f t="shared" si="103"/>
        <v>#DIV/0!</v>
      </c>
      <c r="BB6" s="19" t="e">
        <f t="shared" si="103"/>
        <v>#DIV/0!</v>
      </c>
      <c r="BC6" s="19" t="e">
        <f t="shared" ref="BC6:BN6" si="104">BC4/BC2</f>
        <v>#DIV/0!</v>
      </c>
      <c r="BD6" s="19" t="e">
        <f t="shared" si="104"/>
        <v>#DIV/0!</v>
      </c>
      <c r="BE6" s="19" t="e">
        <f t="shared" si="104"/>
        <v>#DIV/0!</v>
      </c>
      <c r="BF6" s="19" t="e">
        <f t="shared" si="104"/>
        <v>#DIV/0!</v>
      </c>
      <c r="BG6" s="19" t="e">
        <f t="shared" si="104"/>
        <v>#DIV/0!</v>
      </c>
      <c r="BH6" s="19" t="e">
        <f t="shared" si="104"/>
        <v>#DIV/0!</v>
      </c>
      <c r="BI6" s="19" t="e">
        <f t="shared" si="104"/>
        <v>#DIV/0!</v>
      </c>
      <c r="BJ6" s="19" t="e">
        <f t="shared" si="104"/>
        <v>#DIV/0!</v>
      </c>
      <c r="BK6" s="19" t="e">
        <f t="shared" si="104"/>
        <v>#DIV/0!</v>
      </c>
      <c r="BL6" s="19" t="e">
        <f t="shared" si="104"/>
        <v>#DIV/0!</v>
      </c>
      <c r="BM6" s="19" t="e">
        <f t="shared" si="104"/>
        <v>#DIV/0!</v>
      </c>
      <c r="BN6" s="19" t="e">
        <f t="shared" si="104"/>
        <v>#DIV/0!</v>
      </c>
      <c r="BO6" s="19" t="e">
        <f t="shared" ref="BO6:CW6" si="105">BO4/BO2</f>
        <v>#DIV/0!</v>
      </c>
      <c r="BP6" s="19" t="e">
        <f t="shared" si="105"/>
        <v>#DIV/0!</v>
      </c>
      <c r="BQ6" s="19" t="e">
        <f t="shared" si="105"/>
        <v>#DIV/0!</v>
      </c>
      <c r="BR6" s="19" t="e">
        <f t="shared" si="105"/>
        <v>#DIV/0!</v>
      </c>
      <c r="BS6" s="19" t="e">
        <f t="shared" si="105"/>
        <v>#DIV/0!</v>
      </c>
      <c r="BT6" s="19" t="e">
        <f t="shared" si="105"/>
        <v>#DIV/0!</v>
      </c>
      <c r="BU6" s="19" t="e">
        <f t="shared" si="105"/>
        <v>#DIV/0!</v>
      </c>
      <c r="BV6" s="19" t="e">
        <f t="shared" si="105"/>
        <v>#DIV/0!</v>
      </c>
      <c r="BW6" s="19" t="e">
        <f t="shared" si="105"/>
        <v>#DIV/0!</v>
      </c>
      <c r="BX6" s="19" t="e">
        <f t="shared" si="105"/>
        <v>#DIV/0!</v>
      </c>
      <c r="BY6" s="19" t="e">
        <f t="shared" si="105"/>
        <v>#DIV/0!</v>
      </c>
      <c r="BZ6" s="19" t="e">
        <f t="shared" si="105"/>
        <v>#DIV/0!</v>
      </c>
      <c r="CA6" s="19" t="e">
        <f t="shared" si="105"/>
        <v>#DIV/0!</v>
      </c>
      <c r="CB6" s="19" t="e">
        <f t="shared" si="105"/>
        <v>#DIV/0!</v>
      </c>
      <c r="CC6" s="19" t="e">
        <f t="shared" si="105"/>
        <v>#DIV/0!</v>
      </c>
      <c r="CD6" s="19" t="e">
        <f t="shared" si="105"/>
        <v>#DIV/0!</v>
      </c>
      <c r="CE6" s="19" t="e">
        <f t="shared" si="105"/>
        <v>#DIV/0!</v>
      </c>
      <c r="CF6" s="19" t="e">
        <f t="shared" si="105"/>
        <v>#DIV/0!</v>
      </c>
      <c r="CG6" s="19" t="e">
        <f t="shared" si="105"/>
        <v>#DIV/0!</v>
      </c>
      <c r="CH6" s="19" t="e">
        <f t="shared" si="105"/>
        <v>#DIV/0!</v>
      </c>
      <c r="CI6" s="19" t="e">
        <f t="shared" si="105"/>
        <v>#DIV/0!</v>
      </c>
      <c r="CJ6" s="19" t="e">
        <f t="shared" si="105"/>
        <v>#DIV/0!</v>
      </c>
      <c r="CK6" s="19" t="e">
        <f t="shared" si="105"/>
        <v>#DIV/0!</v>
      </c>
      <c r="CL6" s="19" t="e">
        <f t="shared" si="105"/>
        <v>#DIV/0!</v>
      </c>
      <c r="CM6" s="19" t="e">
        <f t="shared" si="105"/>
        <v>#DIV/0!</v>
      </c>
      <c r="CN6" s="19" t="e">
        <f t="shared" si="105"/>
        <v>#DIV/0!</v>
      </c>
      <c r="CO6" s="19" t="e">
        <f t="shared" si="105"/>
        <v>#DIV/0!</v>
      </c>
      <c r="CP6" s="19" t="e">
        <f t="shared" si="105"/>
        <v>#DIV/0!</v>
      </c>
      <c r="CQ6" s="19" t="e">
        <f t="shared" si="105"/>
        <v>#DIV/0!</v>
      </c>
      <c r="CR6" s="19" t="e">
        <f t="shared" si="105"/>
        <v>#DIV/0!</v>
      </c>
      <c r="CS6" s="19" t="e">
        <f t="shared" si="105"/>
        <v>#DIV/0!</v>
      </c>
      <c r="CT6" s="19" t="e">
        <f t="shared" si="105"/>
        <v>#DIV/0!</v>
      </c>
      <c r="CU6" s="19" t="e">
        <f t="shared" si="105"/>
        <v>#DIV/0!</v>
      </c>
      <c r="CV6" s="19" t="e">
        <f t="shared" si="105"/>
        <v>#DIV/0!</v>
      </c>
      <c r="CW6" s="19" t="e">
        <f t="shared" si="105"/>
        <v>#DIV/0!</v>
      </c>
      <c r="CX6" s="19" t="e">
        <f t="shared" ref="CX6:CY6" si="106">CX4/CX2</f>
        <v>#DIV/0!</v>
      </c>
      <c r="CY6" s="19" t="e">
        <f t="shared" si="106"/>
        <v>#DIV/0!</v>
      </c>
      <c r="CZ6" s="19" t="e">
        <f t="shared" ref="CZ6:EX6" si="107">CZ4/CZ2</f>
        <v>#DIV/0!</v>
      </c>
      <c r="DA6" s="19" t="e">
        <f t="shared" si="107"/>
        <v>#DIV/0!</v>
      </c>
      <c r="DB6" s="19" t="e">
        <f t="shared" si="107"/>
        <v>#DIV/0!</v>
      </c>
      <c r="DC6" s="19" t="e">
        <f t="shared" si="107"/>
        <v>#DIV/0!</v>
      </c>
      <c r="DD6" s="19" t="e">
        <f t="shared" si="107"/>
        <v>#DIV/0!</v>
      </c>
      <c r="DE6" s="19" t="e">
        <f t="shared" si="107"/>
        <v>#DIV/0!</v>
      </c>
      <c r="DF6" s="19" t="e">
        <f t="shared" si="107"/>
        <v>#DIV/0!</v>
      </c>
      <c r="DG6" s="19" t="e">
        <f t="shared" si="107"/>
        <v>#DIV/0!</v>
      </c>
      <c r="DH6" s="19" t="e">
        <f t="shared" si="107"/>
        <v>#DIV/0!</v>
      </c>
      <c r="DI6" s="19" t="e">
        <f t="shared" si="107"/>
        <v>#DIV/0!</v>
      </c>
      <c r="DJ6" s="19" t="e">
        <f t="shared" si="107"/>
        <v>#DIV/0!</v>
      </c>
      <c r="DK6" s="19" t="e">
        <f t="shared" si="107"/>
        <v>#DIV/0!</v>
      </c>
      <c r="DL6" s="19" t="e">
        <f t="shared" si="107"/>
        <v>#DIV/0!</v>
      </c>
      <c r="DM6" s="19" t="e">
        <f t="shared" si="107"/>
        <v>#DIV/0!</v>
      </c>
      <c r="DN6" s="19" t="e">
        <f t="shared" si="107"/>
        <v>#DIV/0!</v>
      </c>
      <c r="DO6" s="19" t="e">
        <f t="shared" si="107"/>
        <v>#DIV/0!</v>
      </c>
      <c r="DP6" s="19" t="e">
        <f t="shared" si="107"/>
        <v>#DIV/0!</v>
      </c>
      <c r="DQ6" s="19" t="e">
        <f t="shared" si="107"/>
        <v>#DIV/0!</v>
      </c>
      <c r="DR6" s="19" t="e">
        <f t="shared" si="107"/>
        <v>#DIV/0!</v>
      </c>
      <c r="DS6" s="19" t="e">
        <f t="shared" si="107"/>
        <v>#DIV/0!</v>
      </c>
      <c r="DT6" s="19" t="e">
        <f t="shared" si="107"/>
        <v>#DIV/0!</v>
      </c>
      <c r="DU6" s="19" t="e">
        <f t="shared" si="107"/>
        <v>#DIV/0!</v>
      </c>
      <c r="DV6" s="19" t="e">
        <f t="shared" si="107"/>
        <v>#DIV/0!</v>
      </c>
      <c r="DW6" s="19" t="e">
        <f t="shared" si="107"/>
        <v>#DIV/0!</v>
      </c>
      <c r="DX6" s="19" t="e">
        <f t="shared" si="107"/>
        <v>#DIV/0!</v>
      </c>
      <c r="DY6" s="19" t="e">
        <f t="shared" si="107"/>
        <v>#DIV/0!</v>
      </c>
      <c r="DZ6" s="19" t="e">
        <f t="shared" si="107"/>
        <v>#DIV/0!</v>
      </c>
      <c r="EA6" s="19" t="e">
        <f t="shared" si="107"/>
        <v>#DIV/0!</v>
      </c>
      <c r="EB6" s="19" t="e">
        <f t="shared" si="107"/>
        <v>#DIV/0!</v>
      </c>
      <c r="EC6" s="19" t="e">
        <f t="shared" si="107"/>
        <v>#DIV/0!</v>
      </c>
      <c r="ED6" s="19" t="e">
        <f t="shared" si="107"/>
        <v>#DIV/0!</v>
      </c>
      <c r="EE6" s="19" t="e">
        <f t="shared" si="107"/>
        <v>#DIV/0!</v>
      </c>
      <c r="EF6" s="19" t="e">
        <f t="shared" si="107"/>
        <v>#DIV/0!</v>
      </c>
      <c r="EG6" s="19" t="e">
        <f t="shared" si="107"/>
        <v>#DIV/0!</v>
      </c>
      <c r="EH6" s="19" t="e">
        <f t="shared" si="107"/>
        <v>#DIV/0!</v>
      </c>
      <c r="EI6" s="19" t="e">
        <f t="shared" si="107"/>
        <v>#DIV/0!</v>
      </c>
      <c r="EJ6" s="19" t="e">
        <f t="shared" si="107"/>
        <v>#DIV/0!</v>
      </c>
      <c r="EK6" s="19" t="e">
        <f t="shared" si="107"/>
        <v>#DIV/0!</v>
      </c>
      <c r="EL6" s="19" t="e">
        <f t="shared" si="107"/>
        <v>#DIV/0!</v>
      </c>
      <c r="EM6" s="19" t="e">
        <f t="shared" si="107"/>
        <v>#DIV/0!</v>
      </c>
      <c r="EN6" s="19" t="e">
        <f t="shared" si="107"/>
        <v>#DIV/0!</v>
      </c>
      <c r="EO6" s="19" t="e">
        <f t="shared" si="107"/>
        <v>#DIV/0!</v>
      </c>
      <c r="EP6" s="19" t="e">
        <f t="shared" si="107"/>
        <v>#DIV/0!</v>
      </c>
      <c r="EQ6" s="19" t="e">
        <f t="shared" si="107"/>
        <v>#DIV/0!</v>
      </c>
      <c r="ER6" s="19" t="e">
        <f t="shared" si="107"/>
        <v>#DIV/0!</v>
      </c>
      <c r="ES6" s="19" t="e">
        <f t="shared" si="107"/>
        <v>#DIV/0!</v>
      </c>
      <c r="ET6" s="19" t="e">
        <f t="shared" si="107"/>
        <v>#DIV/0!</v>
      </c>
      <c r="EU6" s="19" t="e">
        <f t="shared" si="107"/>
        <v>#DIV/0!</v>
      </c>
      <c r="EV6" s="19" t="e">
        <f t="shared" si="107"/>
        <v>#DIV/0!</v>
      </c>
      <c r="EW6" s="19" t="e">
        <f t="shared" si="107"/>
        <v>#DIV/0!</v>
      </c>
      <c r="EX6" s="19" t="e">
        <f t="shared" si="107"/>
        <v>#DIV/0!</v>
      </c>
      <c r="EY6" s="19" t="e">
        <f t="shared" ref="EY6" si="108">EY4/EY2</f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AW7" si="109">F4/F3</f>
        <v>#DIV/0!</v>
      </c>
      <c r="G7" s="20" t="e">
        <f t="shared" si="109"/>
        <v>#DIV/0!</v>
      </c>
      <c r="H7" s="20" t="e">
        <f t="shared" si="109"/>
        <v>#DIV/0!</v>
      </c>
      <c r="I7" s="20" t="e">
        <f t="shared" si="109"/>
        <v>#DIV/0!</v>
      </c>
      <c r="J7" s="20" t="e">
        <f t="shared" si="109"/>
        <v>#DIV/0!</v>
      </c>
      <c r="K7" s="20" t="e">
        <f t="shared" si="109"/>
        <v>#DIV/0!</v>
      </c>
      <c r="L7" s="20" t="e">
        <f t="shared" si="109"/>
        <v>#DIV/0!</v>
      </c>
      <c r="M7" s="20" t="e">
        <f t="shared" si="109"/>
        <v>#DIV/0!</v>
      </c>
      <c r="N7" s="20" t="e">
        <f t="shared" si="109"/>
        <v>#DIV/0!</v>
      </c>
      <c r="O7" s="20" t="e">
        <f t="shared" si="109"/>
        <v>#DIV/0!</v>
      </c>
      <c r="P7" s="20" t="e">
        <f t="shared" si="109"/>
        <v>#DIV/0!</v>
      </c>
      <c r="Q7" s="20">
        <f t="shared" si="109"/>
        <v>0.85</v>
      </c>
      <c r="R7" s="20">
        <f t="shared" si="109"/>
        <v>0.84150000000000003</v>
      </c>
      <c r="S7" s="20">
        <f t="shared" si="109"/>
        <v>0.91799999999999993</v>
      </c>
      <c r="T7" s="20">
        <f t="shared" si="109"/>
        <v>0.91800000000000004</v>
      </c>
      <c r="U7" s="20">
        <f t="shared" si="109"/>
        <v>0.95417142857142845</v>
      </c>
      <c r="V7" s="20">
        <f t="shared" si="109"/>
        <v>1.4105142857142856</v>
      </c>
      <c r="W7" s="20">
        <f t="shared" si="109"/>
        <v>0.94117647058823528</v>
      </c>
      <c r="X7" s="20">
        <f t="shared" si="109"/>
        <v>0.8928571428571429</v>
      </c>
      <c r="Y7" s="20">
        <f t="shared" si="109"/>
        <v>1</v>
      </c>
      <c r="Z7" s="20">
        <f t="shared" si="109"/>
        <v>0.88888888888888884</v>
      </c>
      <c r="AA7" s="20">
        <f t="shared" si="109"/>
        <v>0.88888888888888884</v>
      </c>
      <c r="AB7" s="20">
        <f>AB5/AB3</f>
        <v>0.96296296296296291</v>
      </c>
      <c r="AC7" s="20">
        <f t="shared" ref="AC7:AR7" si="110">AC5/AC3</f>
        <v>0.88</v>
      </c>
      <c r="AD7" s="20">
        <f t="shared" si="110"/>
        <v>1.2592592592592593</v>
      </c>
      <c r="AE7" s="20">
        <f t="shared" si="110"/>
        <v>0.73684210526315785</v>
      </c>
      <c r="AF7" s="20">
        <f t="shared" si="110"/>
        <v>2.2727272727272729</v>
      </c>
      <c r="AG7" s="20">
        <f t="shared" si="110"/>
        <v>1.3157894736842106</v>
      </c>
      <c r="AH7" s="20">
        <f t="shared" si="110"/>
        <v>1.7647058823529411</v>
      </c>
      <c r="AI7" s="20">
        <f t="shared" si="110"/>
        <v>1.7058823529411764</v>
      </c>
      <c r="AJ7" s="20">
        <f t="shared" si="110"/>
        <v>1.0740740740740742</v>
      </c>
      <c r="AK7" s="20">
        <f t="shared" si="110"/>
        <v>1.037037037037037</v>
      </c>
      <c r="AL7" s="20">
        <f t="shared" si="110"/>
        <v>1</v>
      </c>
      <c r="AM7" s="20">
        <f>AM5/AM3</f>
        <v>0.96296296296296291</v>
      </c>
      <c r="AN7" s="20">
        <f t="shared" si="110"/>
        <v>0.96296296296296291</v>
      </c>
      <c r="AO7" s="20">
        <f t="shared" si="110"/>
        <v>0.8666666666666667</v>
      </c>
      <c r="AP7" s="20">
        <f t="shared" si="110"/>
        <v>0.8666666666666667</v>
      </c>
      <c r="AQ7" s="20">
        <f t="shared" si="110"/>
        <v>0.92592592592592593</v>
      </c>
      <c r="AR7" s="20">
        <f t="shared" si="110"/>
        <v>1.7037037037037037</v>
      </c>
      <c r="AS7" s="20">
        <f t="shared" si="109"/>
        <v>1.096774193548387</v>
      </c>
      <c r="AT7" s="20">
        <f t="shared" si="109"/>
        <v>1.2592592592592593</v>
      </c>
      <c r="AU7" s="20">
        <f t="shared" si="109"/>
        <v>1.3333333333333333</v>
      </c>
      <c r="AV7" s="20">
        <f t="shared" si="109"/>
        <v>1.2592592592592593</v>
      </c>
      <c r="AW7" s="20">
        <f t="shared" si="109"/>
        <v>1.1333333333333333</v>
      </c>
      <c r="AX7" s="20">
        <f t="shared" ref="AX7:BB7" si="111">AX4/AX3</f>
        <v>1.096774193548387</v>
      </c>
      <c r="AY7" s="20">
        <f t="shared" si="111"/>
        <v>1.2222222222222223</v>
      </c>
      <c r="AZ7" s="20">
        <f t="shared" si="111"/>
        <v>1.1481481481481481</v>
      </c>
      <c r="BA7" s="20">
        <f t="shared" si="111"/>
        <v>1.1111111111111112</v>
      </c>
      <c r="BB7" s="20">
        <f t="shared" si="111"/>
        <v>1.1111111111111112</v>
      </c>
      <c r="BC7" s="20">
        <f t="shared" ref="BC7:BN7" si="112">BC4/BC3</f>
        <v>1.0740740740740742</v>
      </c>
      <c r="BD7" s="20">
        <f t="shared" si="112"/>
        <v>1</v>
      </c>
      <c r="BE7" s="20">
        <f t="shared" si="112"/>
        <v>1</v>
      </c>
      <c r="BF7" s="20">
        <f t="shared" si="112"/>
        <v>0.92592592592592593</v>
      </c>
      <c r="BG7" s="20">
        <f t="shared" si="112"/>
        <v>1.0740740740740742</v>
      </c>
      <c r="BH7" s="20">
        <f t="shared" si="112"/>
        <v>1.037037037037037</v>
      </c>
      <c r="BI7" s="20">
        <f t="shared" si="112"/>
        <v>1.037037037037037</v>
      </c>
      <c r="BJ7" s="20">
        <f t="shared" si="112"/>
        <v>1.0357142857142858</v>
      </c>
      <c r="BK7" s="20">
        <f t="shared" si="112"/>
        <v>1.0714285714285714</v>
      </c>
      <c r="BL7" s="20">
        <f t="shared" si="112"/>
        <v>1.0357142857142858</v>
      </c>
      <c r="BM7" s="20">
        <f t="shared" si="112"/>
        <v>0.92592592592592593</v>
      </c>
      <c r="BN7" s="20">
        <f t="shared" si="112"/>
        <v>0.9285714285714286</v>
      </c>
      <c r="BO7" s="20">
        <f t="shared" ref="BO7:CW7" si="113">BO4/BO3</f>
        <v>0.92592592592592593</v>
      </c>
      <c r="BP7" s="20">
        <f t="shared" si="113"/>
        <v>0.96</v>
      </c>
      <c r="BQ7" s="20">
        <f t="shared" si="113"/>
        <v>0.88</v>
      </c>
      <c r="BR7" s="20">
        <f t="shared" si="113"/>
        <v>0.875</v>
      </c>
      <c r="BS7" s="20">
        <f t="shared" si="113"/>
        <v>0.91304347826086951</v>
      </c>
      <c r="BT7" s="20">
        <f t="shared" si="113"/>
        <v>0.86956521739130432</v>
      </c>
      <c r="BU7" s="20">
        <f t="shared" si="113"/>
        <v>0.78260869565217395</v>
      </c>
      <c r="BV7" s="20">
        <f t="shared" si="113"/>
        <v>0.77272727272727271</v>
      </c>
      <c r="BW7" s="20">
        <f t="shared" si="113"/>
        <v>0.72727272727272729</v>
      </c>
      <c r="BX7" s="20">
        <f t="shared" si="113"/>
        <v>1.5555555555555556</v>
      </c>
      <c r="BY7" s="20" t="e">
        <f t="shared" si="113"/>
        <v>#DIV/0!</v>
      </c>
      <c r="BZ7" s="20" t="e">
        <f t="shared" si="113"/>
        <v>#DIV/0!</v>
      </c>
      <c r="CA7" s="20" t="e">
        <f t="shared" si="113"/>
        <v>#DIV/0!</v>
      </c>
      <c r="CB7" s="20" t="e">
        <f t="shared" si="113"/>
        <v>#DIV/0!</v>
      </c>
      <c r="CC7" s="20" t="e">
        <f t="shared" si="113"/>
        <v>#DIV/0!</v>
      </c>
      <c r="CD7" s="20" t="e">
        <f t="shared" si="113"/>
        <v>#DIV/0!</v>
      </c>
      <c r="CE7" s="20" t="e">
        <f t="shared" si="113"/>
        <v>#DIV/0!</v>
      </c>
      <c r="CF7" s="20" t="e">
        <f t="shared" si="113"/>
        <v>#DIV/0!</v>
      </c>
      <c r="CG7" s="20" t="e">
        <f t="shared" si="113"/>
        <v>#DIV/0!</v>
      </c>
      <c r="CH7" s="20" t="e">
        <f t="shared" si="113"/>
        <v>#DIV/0!</v>
      </c>
      <c r="CI7" s="20" t="e">
        <f t="shared" si="113"/>
        <v>#DIV/0!</v>
      </c>
      <c r="CJ7" s="20" t="e">
        <f t="shared" si="113"/>
        <v>#DIV/0!</v>
      </c>
      <c r="CK7" s="20" t="e">
        <f t="shared" si="113"/>
        <v>#DIV/0!</v>
      </c>
      <c r="CL7" s="20" t="e">
        <f t="shared" si="113"/>
        <v>#DIV/0!</v>
      </c>
      <c r="CM7" s="20" t="e">
        <f t="shared" si="113"/>
        <v>#DIV/0!</v>
      </c>
      <c r="CN7" s="20" t="e">
        <f t="shared" si="113"/>
        <v>#DIV/0!</v>
      </c>
      <c r="CO7" s="20" t="e">
        <f t="shared" si="113"/>
        <v>#DIV/0!</v>
      </c>
      <c r="CP7" s="20" t="e">
        <f t="shared" si="113"/>
        <v>#DIV/0!</v>
      </c>
      <c r="CQ7" s="20" t="e">
        <f t="shared" si="113"/>
        <v>#DIV/0!</v>
      </c>
      <c r="CR7" s="20" t="e">
        <f t="shared" si="113"/>
        <v>#DIV/0!</v>
      </c>
      <c r="CS7" s="20" t="e">
        <f t="shared" si="113"/>
        <v>#DIV/0!</v>
      </c>
      <c r="CT7" s="20" t="e">
        <f t="shared" si="113"/>
        <v>#DIV/0!</v>
      </c>
      <c r="CU7" s="20" t="e">
        <f t="shared" si="113"/>
        <v>#DIV/0!</v>
      </c>
      <c r="CV7" s="20" t="e">
        <f t="shared" si="113"/>
        <v>#DIV/0!</v>
      </c>
      <c r="CW7" s="20" t="e">
        <f t="shared" si="113"/>
        <v>#DIV/0!</v>
      </c>
      <c r="CX7" s="20" t="e">
        <f t="shared" ref="CX7:CY7" si="114">CX4/CX3</f>
        <v>#DIV/0!</v>
      </c>
      <c r="CY7" s="20" t="e">
        <f t="shared" si="114"/>
        <v>#DIV/0!</v>
      </c>
      <c r="CZ7" s="20" t="e">
        <f t="shared" ref="CZ7:EX7" si="115">CZ4/CZ3</f>
        <v>#DIV/0!</v>
      </c>
      <c r="DA7" s="20" t="e">
        <f t="shared" si="115"/>
        <v>#DIV/0!</v>
      </c>
      <c r="DB7" s="20" t="e">
        <f t="shared" si="115"/>
        <v>#DIV/0!</v>
      </c>
      <c r="DC7" s="20" t="e">
        <f t="shared" si="115"/>
        <v>#DIV/0!</v>
      </c>
      <c r="DD7" s="20" t="e">
        <f t="shared" si="115"/>
        <v>#DIV/0!</v>
      </c>
      <c r="DE7" s="20" t="e">
        <f t="shared" si="115"/>
        <v>#DIV/0!</v>
      </c>
      <c r="DF7" s="20" t="e">
        <f t="shared" si="115"/>
        <v>#DIV/0!</v>
      </c>
      <c r="DG7" s="20" t="e">
        <f t="shared" si="115"/>
        <v>#DIV/0!</v>
      </c>
      <c r="DH7" s="20" t="e">
        <f t="shared" si="115"/>
        <v>#DIV/0!</v>
      </c>
      <c r="DI7" s="20" t="e">
        <f t="shared" si="115"/>
        <v>#DIV/0!</v>
      </c>
      <c r="DJ7" s="20" t="e">
        <f t="shared" si="115"/>
        <v>#DIV/0!</v>
      </c>
      <c r="DK7" s="20" t="e">
        <f t="shared" si="115"/>
        <v>#DIV/0!</v>
      </c>
      <c r="DL7" s="20" t="e">
        <f t="shared" si="115"/>
        <v>#DIV/0!</v>
      </c>
      <c r="DM7" s="20" t="e">
        <f t="shared" si="115"/>
        <v>#DIV/0!</v>
      </c>
      <c r="DN7" s="20" t="e">
        <f t="shared" si="115"/>
        <v>#DIV/0!</v>
      </c>
      <c r="DO7" s="20" t="e">
        <f t="shared" si="115"/>
        <v>#DIV/0!</v>
      </c>
      <c r="DP7" s="20" t="e">
        <f t="shared" si="115"/>
        <v>#DIV/0!</v>
      </c>
      <c r="DQ7" s="20" t="e">
        <f t="shared" si="115"/>
        <v>#DIV/0!</v>
      </c>
      <c r="DR7" s="20" t="e">
        <f t="shared" si="115"/>
        <v>#DIV/0!</v>
      </c>
      <c r="DS7" s="20" t="e">
        <f t="shared" si="115"/>
        <v>#DIV/0!</v>
      </c>
      <c r="DT7" s="20" t="e">
        <f t="shared" si="115"/>
        <v>#DIV/0!</v>
      </c>
      <c r="DU7" s="20" t="e">
        <f t="shared" si="115"/>
        <v>#DIV/0!</v>
      </c>
      <c r="DV7" s="20" t="e">
        <f t="shared" si="115"/>
        <v>#DIV/0!</v>
      </c>
      <c r="DW7" s="20" t="e">
        <f t="shared" si="115"/>
        <v>#DIV/0!</v>
      </c>
      <c r="DX7" s="20" t="e">
        <f t="shared" si="115"/>
        <v>#DIV/0!</v>
      </c>
      <c r="DY7" s="20" t="e">
        <f t="shared" si="115"/>
        <v>#DIV/0!</v>
      </c>
      <c r="DZ7" s="20" t="e">
        <f t="shared" si="115"/>
        <v>#DIV/0!</v>
      </c>
      <c r="EA7" s="20" t="e">
        <f t="shared" si="115"/>
        <v>#DIV/0!</v>
      </c>
      <c r="EB7" s="20" t="e">
        <f t="shared" si="115"/>
        <v>#DIV/0!</v>
      </c>
      <c r="EC7" s="20" t="e">
        <f t="shared" si="115"/>
        <v>#DIV/0!</v>
      </c>
      <c r="ED7" s="20" t="e">
        <f t="shared" si="115"/>
        <v>#DIV/0!</v>
      </c>
      <c r="EE7" s="20" t="e">
        <f t="shared" si="115"/>
        <v>#DIV/0!</v>
      </c>
      <c r="EF7" s="20" t="e">
        <f t="shared" si="115"/>
        <v>#DIV/0!</v>
      </c>
      <c r="EG7" s="20" t="e">
        <f t="shared" si="115"/>
        <v>#DIV/0!</v>
      </c>
      <c r="EH7" s="20" t="e">
        <f t="shared" si="115"/>
        <v>#DIV/0!</v>
      </c>
      <c r="EI7" s="20" t="e">
        <f t="shared" si="115"/>
        <v>#DIV/0!</v>
      </c>
      <c r="EJ7" s="20" t="e">
        <f t="shared" si="115"/>
        <v>#DIV/0!</v>
      </c>
      <c r="EK7" s="20" t="e">
        <f t="shared" si="115"/>
        <v>#DIV/0!</v>
      </c>
      <c r="EL7" s="20" t="e">
        <f t="shared" si="115"/>
        <v>#DIV/0!</v>
      </c>
      <c r="EM7" s="20" t="e">
        <f t="shared" si="115"/>
        <v>#DIV/0!</v>
      </c>
      <c r="EN7" s="20" t="e">
        <f t="shared" si="115"/>
        <v>#DIV/0!</v>
      </c>
      <c r="EO7" s="20" t="e">
        <f t="shared" si="115"/>
        <v>#DIV/0!</v>
      </c>
      <c r="EP7" s="20" t="e">
        <f t="shared" si="115"/>
        <v>#DIV/0!</v>
      </c>
      <c r="EQ7" s="20" t="e">
        <f t="shared" si="115"/>
        <v>#DIV/0!</v>
      </c>
      <c r="ER7" s="20" t="e">
        <f t="shared" si="115"/>
        <v>#DIV/0!</v>
      </c>
      <c r="ES7" s="20" t="e">
        <f t="shared" si="115"/>
        <v>#DIV/0!</v>
      </c>
      <c r="ET7" s="20" t="e">
        <f t="shared" si="115"/>
        <v>#DIV/0!</v>
      </c>
      <c r="EU7" s="20" t="e">
        <f t="shared" si="115"/>
        <v>#DIV/0!</v>
      </c>
      <c r="EV7" s="20" t="e">
        <f t="shared" si="115"/>
        <v>#DIV/0!</v>
      </c>
      <c r="EW7" s="20" t="e">
        <f t="shared" si="115"/>
        <v>#DIV/0!</v>
      </c>
      <c r="EX7" s="20" t="e">
        <f t="shared" si="115"/>
        <v>#DIV/0!</v>
      </c>
      <c r="EY7" s="20" t="e">
        <f t="shared" ref="EY7" si="116">EY4/EY3</f>
        <v>#DIV/0!</v>
      </c>
    </row>
    <row r="8" spans="1:155" hidden="1" outlineLevel="1" x14ac:dyDescent="0.3">
      <c r="T8" s="11"/>
    </row>
    <row r="9" spans="1:155" collapsed="1" x14ac:dyDescent="0.3">
      <c r="A9" s="36" t="s">
        <v>35</v>
      </c>
      <c r="B9" s="36" t="s">
        <v>36</v>
      </c>
      <c r="C9" s="37" t="s">
        <v>2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</row>
    <row r="10" spans="1:155" x14ac:dyDescent="0.3">
      <c r="A10" s="36"/>
      <c r="B10" s="36"/>
      <c r="C10" s="38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>
        <v>10</v>
      </c>
      <c r="BU10" s="27">
        <v>7</v>
      </c>
      <c r="BV10" s="27">
        <v>10</v>
      </c>
      <c r="BW10" s="27">
        <v>10</v>
      </c>
      <c r="BX10" s="27">
        <v>10</v>
      </c>
      <c r="BY10" s="27">
        <v>10</v>
      </c>
      <c r="BZ10" s="27">
        <v>10</v>
      </c>
      <c r="CA10" s="27">
        <v>10</v>
      </c>
      <c r="CB10" s="27">
        <v>9</v>
      </c>
      <c r="CC10" s="27">
        <v>9</v>
      </c>
      <c r="CD10" s="27">
        <v>9</v>
      </c>
      <c r="CE10" s="27">
        <v>9</v>
      </c>
      <c r="CF10" s="27">
        <v>9</v>
      </c>
      <c r="CG10" s="27">
        <v>9</v>
      </c>
      <c r="CH10" s="27">
        <v>9</v>
      </c>
      <c r="CI10" s="27">
        <v>9</v>
      </c>
      <c r="CJ10" s="27">
        <v>9</v>
      </c>
      <c r="CK10" s="27">
        <v>9</v>
      </c>
      <c r="CL10" s="27">
        <v>9</v>
      </c>
      <c r="CM10" s="27">
        <v>9</v>
      </c>
      <c r="CN10" s="27">
        <v>9</v>
      </c>
      <c r="CO10" s="27">
        <v>9</v>
      </c>
      <c r="CP10" s="17">
        <v>9</v>
      </c>
      <c r="CQ10" s="17">
        <v>9</v>
      </c>
      <c r="CR10" s="17">
        <v>9</v>
      </c>
      <c r="CS10" s="17">
        <v>9</v>
      </c>
      <c r="CT10" s="17">
        <v>9</v>
      </c>
      <c r="CU10" s="17">
        <v>9</v>
      </c>
      <c r="CV10" s="17">
        <v>9</v>
      </c>
      <c r="CW10" s="17">
        <v>9</v>
      </c>
      <c r="CX10" s="17">
        <v>9</v>
      </c>
      <c r="CY10" s="17">
        <v>9</v>
      </c>
      <c r="CZ10" s="17">
        <v>9</v>
      </c>
      <c r="DA10" s="17">
        <v>9</v>
      </c>
      <c r="DB10" s="17">
        <v>9</v>
      </c>
      <c r="DC10" s="17">
        <v>9</v>
      </c>
      <c r="DD10" s="17">
        <v>9</v>
      </c>
      <c r="DE10" s="17">
        <v>9</v>
      </c>
      <c r="DF10" s="17">
        <v>9</v>
      </c>
      <c r="DG10" s="17">
        <v>9</v>
      </c>
      <c r="DH10" s="17">
        <v>9</v>
      </c>
      <c r="DI10" s="17">
        <v>21</v>
      </c>
      <c r="DJ10" s="17">
        <v>21</v>
      </c>
      <c r="DK10" s="17">
        <v>21</v>
      </c>
      <c r="DL10" s="17">
        <v>34</v>
      </c>
      <c r="DM10" s="21">
        <v>33</v>
      </c>
      <c r="DN10" s="21">
        <v>30</v>
      </c>
      <c r="DO10" s="21">
        <v>34</v>
      </c>
      <c r="DP10" s="21">
        <v>34</v>
      </c>
      <c r="DQ10" s="21">
        <v>33</v>
      </c>
      <c r="DR10" s="21">
        <v>33</v>
      </c>
      <c r="DS10" s="21">
        <v>33</v>
      </c>
      <c r="DT10" s="21">
        <v>33</v>
      </c>
      <c r="DU10" s="21">
        <v>33</v>
      </c>
      <c r="DV10" s="21">
        <v>32</v>
      </c>
      <c r="DW10" s="21">
        <v>32</v>
      </c>
      <c r="DX10" s="21">
        <v>32</v>
      </c>
      <c r="DY10" s="21">
        <v>30</v>
      </c>
      <c r="DZ10" s="21">
        <v>30</v>
      </c>
      <c r="EA10" s="21">
        <v>30</v>
      </c>
      <c r="EB10" s="21">
        <v>30</v>
      </c>
      <c r="EC10" s="21">
        <v>30</v>
      </c>
      <c r="ED10" s="17">
        <v>30</v>
      </c>
      <c r="EE10" s="17">
        <v>30</v>
      </c>
      <c r="EF10" s="17">
        <v>30</v>
      </c>
      <c r="EG10" s="17">
        <v>30</v>
      </c>
      <c r="EH10" s="17">
        <v>30</v>
      </c>
      <c r="EI10" s="17">
        <v>30</v>
      </c>
      <c r="EJ10" s="17">
        <v>30</v>
      </c>
      <c r="EK10" s="17">
        <v>30</v>
      </c>
      <c r="EL10" s="17">
        <v>30</v>
      </c>
      <c r="EM10" s="17">
        <v>30</v>
      </c>
      <c r="EN10" s="17">
        <v>30</v>
      </c>
      <c r="EO10" s="17">
        <v>30</v>
      </c>
      <c r="EP10" s="17">
        <v>30</v>
      </c>
      <c r="EQ10" s="17">
        <v>30</v>
      </c>
      <c r="ER10" s="17">
        <v>30</v>
      </c>
      <c r="ES10" s="17">
        <v>30</v>
      </c>
      <c r="ET10" s="17">
        <v>30</v>
      </c>
      <c r="EU10" s="17">
        <v>9</v>
      </c>
      <c r="EV10" s="17">
        <v>9</v>
      </c>
      <c r="EW10" s="17">
        <v>9</v>
      </c>
      <c r="EX10" s="17">
        <v>9</v>
      </c>
      <c r="EY10" s="17">
        <v>9</v>
      </c>
    </row>
    <row r="11" spans="1:155" x14ac:dyDescent="0.3">
      <c r="A11" s="36"/>
      <c r="B11" s="36"/>
      <c r="C11" s="38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10</v>
      </c>
      <c r="BU11" s="28">
        <v>7</v>
      </c>
      <c r="BV11" s="28">
        <v>6</v>
      </c>
      <c r="BW11" s="28">
        <v>6</v>
      </c>
      <c r="BX11" s="28">
        <v>9.4</v>
      </c>
      <c r="BY11" s="28">
        <v>15</v>
      </c>
      <c r="BZ11" s="28">
        <v>14</v>
      </c>
      <c r="CA11" s="28">
        <v>14</v>
      </c>
      <c r="CB11" s="28">
        <v>14</v>
      </c>
      <c r="CC11" s="28">
        <v>13</v>
      </c>
      <c r="CD11" s="28">
        <f>CD10*1.1</f>
        <v>9.9</v>
      </c>
      <c r="CE11" s="28">
        <f t="shared" ref="CE11" si="117">CE10*1.1</f>
        <v>9.9</v>
      </c>
      <c r="CF11" s="28">
        <v>13</v>
      </c>
      <c r="CG11" s="28">
        <v>13</v>
      </c>
      <c r="CH11" s="28">
        <v>12</v>
      </c>
      <c r="CI11" s="28">
        <v>13</v>
      </c>
      <c r="CJ11" s="28">
        <v>13</v>
      </c>
      <c r="CK11" s="28">
        <v>13</v>
      </c>
      <c r="CL11" s="28">
        <v>12</v>
      </c>
      <c r="CM11" s="28">
        <v>12</v>
      </c>
      <c r="CN11" s="28">
        <v>12</v>
      </c>
      <c r="CO11" s="28">
        <v>12</v>
      </c>
      <c r="CP11" s="28">
        <v>11</v>
      </c>
      <c r="CQ11" s="28">
        <v>9</v>
      </c>
      <c r="CR11" s="28">
        <v>10</v>
      </c>
      <c r="CS11" s="18">
        <v>10</v>
      </c>
      <c r="CT11" s="18">
        <v>11</v>
      </c>
      <c r="CU11" s="22">
        <v>11</v>
      </c>
      <c r="CV11" s="22">
        <v>11</v>
      </c>
      <c r="CW11" s="22">
        <v>11</v>
      </c>
      <c r="CX11" s="22">
        <v>10</v>
      </c>
      <c r="CY11" s="22">
        <v>10</v>
      </c>
      <c r="CZ11" s="22">
        <v>10</v>
      </c>
      <c r="DA11" s="22">
        <v>10</v>
      </c>
      <c r="DB11" s="22">
        <v>10</v>
      </c>
      <c r="DC11" s="22">
        <v>10</v>
      </c>
      <c r="DD11" s="22">
        <v>10</v>
      </c>
      <c r="DE11" s="22">
        <v>9</v>
      </c>
      <c r="DF11" s="22">
        <v>8</v>
      </c>
      <c r="DG11" s="22">
        <v>7</v>
      </c>
      <c r="DH11" s="22">
        <v>8</v>
      </c>
      <c r="DI11" s="22">
        <v>24</v>
      </c>
      <c r="DJ11" s="22">
        <v>28</v>
      </c>
      <c r="DK11" s="22">
        <v>18</v>
      </c>
      <c r="DL11" s="22">
        <v>34</v>
      </c>
      <c r="DM11" s="22">
        <v>42.5</v>
      </c>
      <c r="DN11" s="22">
        <v>42.5</v>
      </c>
      <c r="DO11" s="22">
        <v>36</v>
      </c>
      <c r="DP11" s="22">
        <v>34</v>
      </c>
      <c r="DQ11" s="22">
        <v>31</v>
      </c>
      <c r="DR11" s="22">
        <v>35</v>
      </c>
      <c r="DS11" s="22">
        <v>30</v>
      </c>
      <c r="DT11" s="22">
        <v>30</v>
      </c>
      <c r="DU11" s="22">
        <v>30</v>
      </c>
      <c r="DV11" s="22">
        <v>37</v>
      </c>
      <c r="DW11" s="22">
        <v>37</v>
      </c>
      <c r="DX11" s="22">
        <v>39</v>
      </c>
      <c r="DY11" s="22">
        <v>36</v>
      </c>
      <c r="DZ11" s="22">
        <v>33</v>
      </c>
      <c r="EA11" s="22">
        <v>33</v>
      </c>
      <c r="EB11" s="22">
        <v>40</v>
      </c>
      <c r="EC11" s="22">
        <v>39</v>
      </c>
      <c r="ED11" s="22">
        <v>38</v>
      </c>
      <c r="EE11" s="22">
        <v>36</v>
      </c>
      <c r="EF11" s="22">
        <v>43.57</v>
      </c>
      <c r="EG11" s="22">
        <v>41.57</v>
      </c>
      <c r="EH11" s="22">
        <v>39.57</v>
      </c>
      <c r="EI11" s="22">
        <v>37.57</v>
      </c>
      <c r="EJ11" s="22">
        <v>35.57</v>
      </c>
      <c r="EK11" s="22">
        <v>33.57</v>
      </c>
      <c r="EL11" s="22">
        <v>40.251904000000003</v>
      </c>
      <c r="EM11" s="22">
        <v>38.251904000000003</v>
      </c>
      <c r="EN11" s="22">
        <v>36.251904000000003</v>
      </c>
      <c r="EO11" s="22">
        <v>34.251904000000003</v>
      </c>
      <c r="EP11" s="22">
        <v>32.251904000000003</v>
      </c>
      <c r="EQ11" s="22">
        <v>30.251904000000003</v>
      </c>
      <c r="ER11" s="22">
        <v>36.933808000000006</v>
      </c>
      <c r="ES11" s="22">
        <v>34.933808000000006</v>
      </c>
      <c r="ET11" s="22">
        <v>32.933808000000006</v>
      </c>
      <c r="EU11" s="22">
        <v>7.8543899999999951</v>
      </c>
      <c r="EV11" s="22">
        <v>7.8543899999999951</v>
      </c>
      <c r="EW11" s="22">
        <v>7.8543899999999951</v>
      </c>
      <c r="EX11" s="22">
        <v>7.8543899999999951</v>
      </c>
      <c r="EY11" s="22">
        <v>8.2621599999999944</v>
      </c>
    </row>
    <row r="12" spans="1:155" x14ac:dyDescent="0.3">
      <c r="A12" s="36"/>
      <c r="B12" s="36"/>
      <c r="C12" s="38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8</v>
      </c>
      <c r="BU12" s="29">
        <f>BU11</f>
        <v>7</v>
      </c>
      <c r="BV12" s="29">
        <v>6</v>
      </c>
      <c r="BW12" s="29">
        <v>6</v>
      </c>
      <c r="BX12" s="29">
        <v>8.89</v>
      </c>
      <c r="BY12" s="29">
        <v>8.89</v>
      </c>
      <c r="BZ12" s="29">
        <v>11.336975250000002</v>
      </c>
      <c r="CA12" s="29">
        <v>11.336975250000002</v>
      </c>
      <c r="CB12" s="29">
        <v>11.336975250000002</v>
      </c>
      <c r="CC12" s="29">
        <f>CC11</f>
        <v>13</v>
      </c>
      <c r="CD12" s="29">
        <v>13</v>
      </c>
      <c r="CE12" s="29">
        <v>13</v>
      </c>
      <c r="CF12" s="29">
        <v>13</v>
      </c>
      <c r="CG12" s="29">
        <v>13</v>
      </c>
      <c r="CH12" s="29">
        <v>12</v>
      </c>
      <c r="CI12" s="29">
        <v>12</v>
      </c>
      <c r="CJ12" s="29">
        <v>12</v>
      </c>
      <c r="CK12" s="29">
        <v>12</v>
      </c>
      <c r="CL12" s="29">
        <v>11</v>
      </c>
      <c r="CM12" s="29">
        <v>11</v>
      </c>
      <c r="CN12" s="29">
        <v>11</v>
      </c>
      <c r="CO12" s="29">
        <v>11</v>
      </c>
      <c r="CP12" s="29">
        <v>10</v>
      </c>
      <c r="CQ12" s="29">
        <v>10</v>
      </c>
      <c r="CR12" s="22">
        <v>10</v>
      </c>
      <c r="CS12" s="22">
        <f t="shared" ref="CS12:CW12" si="118">CS11</f>
        <v>10</v>
      </c>
      <c r="CT12" s="22">
        <f t="shared" si="118"/>
        <v>11</v>
      </c>
      <c r="CU12" s="22">
        <f t="shared" si="118"/>
        <v>11</v>
      </c>
      <c r="CV12" s="22">
        <f t="shared" si="118"/>
        <v>11</v>
      </c>
      <c r="CW12" s="22">
        <f t="shared" si="118"/>
        <v>11</v>
      </c>
      <c r="CX12" s="22">
        <f t="shared" ref="CX12:CY12" si="119">CX11</f>
        <v>10</v>
      </c>
      <c r="CY12" s="22">
        <f t="shared" si="119"/>
        <v>10</v>
      </c>
      <c r="CZ12" s="22">
        <f t="shared" ref="CZ12:EX12" si="120">CZ11</f>
        <v>10</v>
      </c>
      <c r="DA12" s="22">
        <f t="shared" si="120"/>
        <v>10</v>
      </c>
      <c r="DB12" s="22">
        <f t="shared" si="120"/>
        <v>10</v>
      </c>
      <c r="DC12" s="22">
        <f t="shared" si="120"/>
        <v>10</v>
      </c>
      <c r="DD12" s="22">
        <f t="shared" si="120"/>
        <v>10</v>
      </c>
      <c r="DE12" s="22">
        <f t="shared" si="120"/>
        <v>9</v>
      </c>
      <c r="DF12" s="22">
        <f t="shared" si="120"/>
        <v>8</v>
      </c>
      <c r="DG12" s="22">
        <f t="shared" si="120"/>
        <v>7</v>
      </c>
      <c r="DH12" s="22">
        <f t="shared" si="120"/>
        <v>8</v>
      </c>
      <c r="DI12" s="22">
        <f t="shared" si="120"/>
        <v>24</v>
      </c>
      <c r="DJ12" s="22">
        <f t="shared" si="120"/>
        <v>28</v>
      </c>
      <c r="DK12" s="22">
        <f t="shared" si="120"/>
        <v>18</v>
      </c>
      <c r="DL12" s="22">
        <f t="shared" si="120"/>
        <v>34</v>
      </c>
      <c r="DM12" s="22">
        <f>DM11</f>
        <v>42.5</v>
      </c>
      <c r="DN12" s="22">
        <f t="shared" si="120"/>
        <v>42.5</v>
      </c>
      <c r="DO12" s="22">
        <f t="shared" si="120"/>
        <v>36</v>
      </c>
      <c r="DP12" s="22">
        <f t="shared" si="120"/>
        <v>34</v>
      </c>
      <c r="DQ12" s="22">
        <f t="shared" si="120"/>
        <v>31</v>
      </c>
      <c r="DR12" s="22">
        <f t="shared" si="120"/>
        <v>35</v>
      </c>
      <c r="DS12" s="22">
        <f t="shared" si="120"/>
        <v>30</v>
      </c>
      <c r="DT12" s="22">
        <f t="shared" si="120"/>
        <v>30</v>
      </c>
      <c r="DU12" s="22">
        <f t="shared" si="120"/>
        <v>30</v>
      </c>
      <c r="DV12" s="22">
        <f t="shared" si="120"/>
        <v>37</v>
      </c>
      <c r="DW12" s="22">
        <f t="shared" si="120"/>
        <v>37</v>
      </c>
      <c r="DX12" s="22">
        <f t="shared" si="120"/>
        <v>39</v>
      </c>
      <c r="DY12" s="22">
        <f t="shared" si="120"/>
        <v>36</v>
      </c>
      <c r="DZ12" s="22">
        <f t="shared" si="120"/>
        <v>33</v>
      </c>
      <c r="EA12" s="22">
        <f t="shared" si="120"/>
        <v>33</v>
      </c>
      <c r="EB12" s="22">
        <f t="shared" si="120"/>
        <v>40</v>
      </c>
      <c r="EC12" s="22">
        <f t="shared" si="120"/>
        <v>39</v>
      </c>
      <c r="ED12" s="22">
        <f t="shared" si="120"/>
        <v>38</v>
      </c>
      <c r="EE12" s="22">
        <f t="shared" si="120"/>
        <v>36</v>
      </c>
      <c r="EF12" s="22">
        <f t="shared" si="120"/>
        <v>43.57</v>
      </c>
      <c r="EG12" s="22">
        <f t="shared" si="120"/>
        <v>41.57</v>
      </c>
      <c r="EH12" s="22">
        <f t="shared" si="120"/>
        <v>39.57</v>
      </c>
      <c r="EI12" s="22">
        <f t="shared" si="120"/>
        <v>37.57</v>
      </c>
      <c r="EJ12" s="22">
        <f t="shared" si="120"/>
        <v>35.57</v>
      </c>
      <c r="EK12" s="22">
        <f t="shared" si="120"/>
        <v>33.57</v>
      </c>
      <c r="EL12" s="22">
        <f t="shared" si="120"/>
        <v>40.251904000000003</v>
      </c>
      <c r="EM12" s="22">
        <f t="shared" si="120"/>
        <v>38.251904000000003</v>
      </c>
      <c r="EN12" s="22">
        <f t="shared" si="120"/>
        <v>36.251904000000003</v>
      </c>
      <c r="EO12" s="22">
        <f t="shared" si="120"/>
        <v>34.251904000000003</v>
      </c>
      <c r="EP12" s="22">
        <f t="shared" si="120"/>
        <v>32.251904000000003</v>
      </c>
      <c r="EQ12" s="22">
        <f t="shared" si="120"/>
        <v>30.251904000000003</v>
      </c>
      <c r="ER12" s="22">
        <f t="shared" si="120"/>
        <v>36.933808000000006</v>
      </c>
      <c r="ES12" s="22">
        <f t="shared" si="120"/>
        <v>34.933808000000006</v>
      </c>
      <c r="ET12" s="22">
        <f t="shared" si="120"/>
        <v>32.933808000000006</v>
      </c>
      <c r="EU12" s="22">
        <f t="shared" si="120"/>
        <v>7.8543899999999951</v>
      </c>
      <c r="EV12" s="22">
        <f t="shared" si="120"/>
        <v>7.8543899999999951</v>
      </c>
      <c r="EW12" s="22">
        <f t="shared" si="120"/>
        <v>7.8543899999999951</v>
      </c>
      <c r="EX12" s="22">
        <f t="shared" si="120"/>
        <v>7.8543899999999951</v>
      </c>
      <c r="EY12" s="22">
        <f t="shared" ref="EY12" si="121">EY11</f>
        <v>8.2621599999999944</v>
      </c>
    </row>
    <row r="13" spans="1:155" x14ac:dyDescent="0.3">
      <c r="A13" s="36"/>
      <c r="B13" s="36"/>
      <c r="C13" s="38"/>
      <c r="D13" s="15" t="s">
        <v>16</v>
      </c>
      <c r="E13" s="19" t="e">
        <f t="shared" ref="E13:BP13" si="122">E11/E9</f>
        <v>#DIV/0!</v>
      </c>
      <c r="F13" s="19" t="e">
        <f t="shared" si="122"/>
        <v>#DIV/0!</v>
      </c>
      <c r="G13" s="19" t="e">
        <f t="shared" si="122"/>
        <v>#DIV/0!</v>
      </c>
      <c r="H13" s="19" t="e">
        <f t="shared" si="122"/>
        <v>#DIV/0!</v>
      </c>
      <c r="I13" s="19" t="e">
        <f t="shared" si="122"/>
        <v>#DIV/0!</v>
      </c>
      <c r="J13" s="19" t="e">
        <f t="shared" si="122"/>
        <v>#DIV/0!</v>
      </c>
      <c r="K13" s="19" t="e">
        <f t="shared" si="122"/>
        <v>#DIV/0!</v>
      </c>
      <c r="L13" s="19" t="e">
        <f t="shared" si="122"/>
        <v>#DIV/0!</v>
      </c>
      <c r="M13" s="19" t="e">
        <f t="shared" si="122"/>
        <v>#DIV/0!</v>
      </c>
      <c r="N13" s="19" t="e">
        <f t="shared" si="122"/>
        <v>#DIV/0!</v>
      </c>
      <c r="O13" s="19" t="e">
        <f t="shared" si="122"/>
        <v>#DIV/0!</v>
      </c>
      <c r="P13" s="19" t="e">
        <f t="shared" si="122"/>
        <v>#DIV/0!</v>
      </c>
      <c r="Q13" s="19" t="e">
        <f t="shared" si="122"/>
        <v>#DIV/0!</v>
      </c>
      <c r="R13" s="19" t="e">
        <f t="shared" si="122"/>
        <v>#DIV/0!</v>
      </c>
      <c r="S13" s="19" t="e">
        <f t="shared" si="122"/>
        <v>#DIV/0!</v>
      </c>
      <c r="T13" s="19" t="e">
        <f t="shared" si="122"/>
        <v>#DIV/0!</v>
      </c>
      <c r="U13" s="19" t="e">
        <f t="shared" si="122"/>
        <v>#DIV/0!</v>
      </c>
      <c r="V13" s="19" t="e">
        <f t="shared" si="122"/>
        <v>#DIV/0!</v>
      </c>
      <c r="W13" s="19" t="e">
        <f t="shared" si="122"/>
        <v>#DIV/0!</v>
      </c>
      <c r="X13" s="19" t="e">
        <f t="shared" si="122"/>
        <v>#DIV/0!</v>
      </c>
      <c r="Y13" s="19" t="e">
        <f t="shared" si="122"/>
        <v>#DIV/0!</v>
      </c>
      <c r="Z13" s="19" t="e">
        <f t="shared" si="122"/>
        <v>#DIV/0!</v>
      </c>
      <c r="AA13" s="19" t="e">
        <f t="shared" si="122"/>
        <v>#DIV/0!</v>
      </c>
      <c r="AB13" s="19" t="e">
        <f t="shared" si="122"/>
        <v>#DIV/0!</v>
      </c>
      <c r="AC13" s="19" t="e">
        <f t="shared" si="122"/>
        <v>#DIV/0!</v>
      </c>
      <c r="AD13" s="19" t="e">
        <f t="shared" si="122"/>
        <v>#DIV/0!</v>
      </c>
      <c r="AE13" s="19" t="e">
        <f t="shared" si="122"/>
        <v>#DIV/0!</v>
      </c>
      <c r="AF13" s="19" t="e">
        <f t="shared" si="122"/>
        <v>#DIV/0!</v>
      </c>
      <c r="AG13" s="19" t="e">
        <f t="shared" si="122"/>
        <v>#DIV/0!</v>
      </c>
      <c r="AH13" s="19" t="e">
        <f t="shared" si="122"/>
        <v>#DIV/0!</v>
      </c>
      <c r="AI13" s="19" t="e">
        <f t="shared" si="122"/>
        <v>#DIV/0!</v>
      </c>
      <c r="AJ13" s="19" t="e">
        <f t="shared" si="122"/>
        <v>#DIV/0!</v>
      </c>
      <c r="AK13" s="19" t="e">
        <f t="shared" si="122"/>
        <v>#DIV/0!</v>
      </c>
      <c r="AL13" s="19" t="e">
        <f t="shared" si="122"/>
        <v>#DIV/0!</v>
      </c>
      <c r="AM13" s="19" t="e">
        <f t="shared" si="122"/>
        <v>#DIV/0!</v>
      </c>
      <c r="AN13" s="19" t="e">
        <f t="shared" si="122"/>
        <v>#DIV/0!</v>
      </c>
      <c r="AO13" s="19" t="e">
        <f t="shared" si="122"/>
        <v>#DIV/0!</v>
      </c>
      <c r="AP13" s="19" t="e">
        <f t="shared" si="122"/>
        <v>#DIV/0!</v>
      </c>
      <c r="AQ13" s="19" t="e">
        <f t="shared" si="122"/>
        <v>#DIV/0!</v>
      </c>
      <c r="AR13" s="19" t="e">
        <f t="shared" si="122"/>
        <v>#DIV/0!</v>
      </c>
      <c r="AS13" s="19" t="e">
        <f t="shared" si="122"/>
        <v>#DIV/0!</v>
      </c>
      <c r="AT13" s="19" t="e">
        <f t="shared" si="122"/>
        <v>#DIV/0!</v>
      </c>
      <c r="AU13" s="19" t="e">
        <f t="shared" si="122"/>
        <v>#DIV/0!</v>
      </c>
      <c r="AV13" s="19" t="e">
        <f t="shared" si="122"/>
        <v>#DIV/0!</v>
      </c>
      <c r="AW13" s="19" t="e">
        <f t="shared" si="122"/>
        <v>#DIV/0!</v>
      </c>
      <c r="AX13" s="19" t="e">
        <f t="shared" si="122"/>
        <v>#DIV/0!</v>
      </c>
      <c r="AY13" s="19" t="e">
        <f t="shared" si="122"/>
        <v>#DIV/0!</v>
      </c>
      <c r="AZ13" s="19" t="e">
        <f t="shared" si="122"/>
        <v>#DIV/0!</v>
      </c>
      <c r="BA13" s="19" t="e">
        <f t="shared" si="122"/>
        <v>#DIV/0!</v>
      </c>
      <c r="BB13" s="19" t="e">
        <f t="shared" si="122"/>
        <v>#DIV/0!</v>
      </c>
      <c r="BC13" s="19" t="e">
        <f t="shared" si="122"/>
        <v>#DIV/0!</v>
      </c>
      <c r="BD13" s="19" t="e">
        <f t="shared" si="122"/>
        <v>#DIV/0!</v>
      </c>
      <c r="BE13" s="19" t="e">
        <f t="shared" si="122"/>
        <v>#DIV/0!</v>
      </c>
      <c r="BF13" s="19" t="e">
        <f t="shared" si="122"/>
        <v>#DIV/0!</v>
      </c>
      <c r="BG13" s="19" t="e">
        <f t="shared" si="122"/>
        <v>#DIV/0!</v>
      </c>
      <c r="BH13" s="19" t="e">
        <f t="shared" si="122"/>
        <v>#DIV/0!</v>
      </c>
      <c r="BI13" s="19" t="e">
        <f t="shared" si="122"/>
        <v>#DIV/0!</v>
      </c>
      <c r="BJ13" s="19" t="e">
        <f t="shared" si="122"/>
        <v>#DIV/0!</v>
      </c>
      <c r="BK13" s="19" t="e">
        <f t="shared" si="122"/>
        <v>#DIV/0!</v>
      </c>
      <c r="BL13" s="19" t="e">
        <f t="shared" si="122"/>
        <v>#DIV/0!</v>
      </c>
      <c r="BM13" s="19" t="e">
        <f t="shared" si="122"/>
        <v>#DIV/0!</v>
      </c>
      <c r="BN13" s="19" t="e">
        <f t="shared" si="122"/>
        <v>#DIV/0!</v>
      </c>
      <c r="BO13" s="19" t="e">
        <f t="shared" si="122"/>
        <v>#DIV/0!</v>
      </c>
      <c r="BP13" s="19" t="e">
        <f t="shared" si="122"/>
        <v>#DIV/0!</v>
      </c>
      <c r="BQ13" s="19" t="e">
        <f t="shared" ref="BQ13:CW13" si="123">BQ11/BQ9</f>
        <v>#DIV/0!</v>
      </c>
      <c r="BR13" s="19" t="e">
        <f t="shared" si="123"/>
        <v>#DIV/0!</v>
      </c>
      <c r="BS13" s="19" t="e">
        <f t="shared" si="123"/>
        <v>#DIV/0!</v>
      </c>
      <c r="BT13" s="19" t="e">
        <f t="shared" si="123"/>
        <v>#DIV/0!</v>
      </c>
      <c r="BU13" s="19" t="e">
        <f t="shared" si="123"/>
        <v>#DIV/0!</v>
      </c>
      <c r="BV13" s="19" t="e">
        <f t="shared" si="123"/>
        <v>#DIV/0!</v>
      </c>
      <c r="BW13" s="19" t="e">
        <f t="shared" si="123"/>
        <v>#DIV/0!</v>
      </c>
      <c r="BX13" s="19" t="e">
        <f t="shared" si="123"/>
        <v>#DIV/0!</v>
      </c>
      <c r="BY13" s="19" t="e">
        <f t="shared" si="123"/>
        <v>#DIV/0!</v>
      </c>
      <c r="BZ13" s="19" t="e">
        <f t="shared" si="123"/>
        <v>#DIV/0!</v>
      </c>
      <c r="CA13" s="19" t="e">
        <f t="shared" si="123"/>
        <v>#DIV/0!</v>
      </c>
      <c r="CB13" s="19" t="e">
        <f t="shared" si="123"/>
        <v>#DIV/0!</v>
      </c>
      <c r="CC13" s="19" t="e">
        <f t="shared" si="123"/>
        <v>#DIV/0!</v>
      </c>
      <c r="CD13" s="19" t="e">
        <f t="shared" si="123"/>
        <v>#DIV/0!</v>
      </c>
      <c r="CE13" s="19" t="e">
        <f t="shared" si="123"/>
        <v>#DIV/0!</v>
      </c>
      <c r="CF13" s="19" t="e">
        <f t="shared" si="123"/>
        <v>#DIV/0!</v>
      </c>
      <c r="CG13" s="19" t="e">
        <f t="shared" si="123"/>
        <v>#DIV/0!</v>
      </c>
      <c r="CH13" s="19" t="e">
        <f t="shared" si="123"/>
        <v>#DIV/0!</v>
      </c>
      <c r="CI13" s="19" t="e">
        <f t="shared" si="123"/>
        <v>#DIV/0!</v>
      </c>
      <c r="CJ13" s="19" t="e">
        <f t="shared" si="123"/>
        <v>#DIV/0!</v>
      </c>
      <c r="CK13" s="19" t="e">
        <f t="shared" si="123"/>
        <v>#DIV/0!</v>
      </c>
      <c r="CL13" s="19" t="e">
        <f t="shared" si="123"/>
        <v>#DIV/0!</v>
      </c>
      <c r="CM13" s="19" t="e">
        <f t="shared" si="123"/>
        <v>#DIV/0!</v>
      </c>
      <c r="CN13" s="19" t="e">
        <f t="shared" si="123"/>
        <v>#DIV/0!</v>
      </c>
      <c r="CO13" s="19" t="e">
        <f t="shared" si="123"/>
        <v>#DIV/0!</v>
      </c>
      <c r="CP13" s="19" t="e">
        <f t="shared" si="123"/>
        <v>#DIV/0!</v>
      </c>
      <c r="CQ13" s="19" t="e">
        <f t="shared" si="123"/>
        <v>#DIV/0!</v>
      </c>
      <c r="CR13" s="19" t="e">
        <f t="shared" si="123"/>
        <v>#DIV/0!</v>
      </c>
      <c r="CS13" s="19" t="e">
        <f t="shared" si="123"/>
        <v>#DIV/0!</v>
      </c>
      <c r="CT13" s="19" t="e">
        <f t="shared" si="123"/>
        <v>#DIV/0!</v>
      </c>
      <c r="CU13" s="19" t="e">
        <f t="shared" si="123"/>
        <v>#DIV/0!</v>
      </c>
      <c r="CV13" s="19" t="e">
        <f t="shared" si="123"/>
        <v>#DIV/0!</v>
      </c>
      <c r="CW13" s="19" t="e">
        <f t="shared" si="123"/>
        <v>#DIV/0!</v>
      </c>
      <c r="CX13" s="19" t="e">
        <f t="shared" ref="CX13:CY13" si="124">CX11/CX9</f>
        <v>#DIV/0!</v>
      </c>
      <c r="CY13" s="19" t="e">
        <f t="shared" si="124"/>
        <v>#DIV/0!</v>
      </c>
      <c r="CZ13" s="19" t="e">
        <f t="shared" ref="CZ13:EX13" si="125">CZ11/CZ9</f>
        <v>#DIV/0!</v>
      </c>
      <c r="DA13" s="19" t="e">
        <f t="shared" si="125"/>
        <v>#DIV/0!</v>
      </c>
      <c r="DB13" s="19" t="e">
        <f t="shared" si="125"/>
        <v>#DIV/0!</v>
      </c>
      <c r="DC13" s="19" t="e">
        <f t="shared" si="125"/>
        <v>#DIV/0!</v>
      </c>
      <c r="DD13" s="19" t="e">
        <f t="shared" si="125"/>
        <v>#DIV/0!</v>
      </c>
      <c r="DE13" s="19" t="e">
        <f t="shared" si="125"/>
        <v>#DIV/0!</v>
      </c>
      <c r="DF13" s="19" t="e">
        <f t="shared" si="125"/>
        <v>#DIV/0!</v>
      </c>
      <c r="DG13" s="19" t="e">
        <f t="shared" si="125"/>
        <v>#DIV/0!</v>
      </c>
      <c r="DH13" s="19" t="e">
        <f t="shared" si="125"/>
        <v>#DIV/0!</v>
      </c>
      <c r="DI13" s="19" t="e">
        <f t="shared" si="125"/>
        <v>#DIV/0!</v>
      </c>
      <c r="DJ13" s="19" t="e">
        <f t="shared" si="125"/>
        <v>#DIV/0!</v>
      </c>
      <c r="DK13" s="19" t="e">
        <f t="shared" si="125"/>
        <v>#DIV/0!</v>
      </c>
      <c r="DL13" s="19" t="e">
        <f t="shared" si="125"/>
        <v>#DIV/0!</v>
      </c>
      <c r="DM13" s="19" t="e">
        <f t="shared" si="125"/>
        <v>#DIV/0!</v>
      </c>
      <c r="DN13" s="19" t="e">
        <f t="shared" si="125"/>
        <v>#DIV/0!</v>
      </c>
      <c r="DO13" s="19" t="e">
        <f t="shared" si="125"/>
        <v>#DIV/0!</v>
      </c>
      <c r="DP13" s="19" t="e">
        <f t="shared" si="125"/>
        <v>#DIV/0!</v>
      </c>
      <c r="DQ13" s="19" t="e">
        <f t="shared" si="125"/>
        <v>#DIV/0!</v>
      </c>
      <c r="DR13" s="19" t="e">
        <f t="shared" si="125"/>
        <v>#DIV/0!</v>
      </c>
      <c r="DS13" s="19" t="e">
        <f t="shared" si="125"/>
        <v>#DIV/0!</v>
      </c>
      <c r="DT13" s="19" t="e">
        <f t="shared" si="125"/>
        <v>#DIV/0!</v>
      </c>
      <c r="DU13" s="19" t="e">
        <f t="shared" si="125"/>
        <v>#DIV/0!</v>
      </c>
      <c r="DV13" s="19" t="e">
        <f t="shared" si="125"/>
        <v>#DIV/0!</v>
      </c>
      <c r="DW13" s="19" t="e">
        <f t="shared" si="125"/>
        <v>#DIV/0!</v>
      </c>
      <c r="DX13" s="19" t="e">
        <f t="shared" si="125"/>
        <v>#DIV/0!</v>
      </c>
      <c r="DY13" s="19" t="e">
        <f t="shared" si="125"/>
        <v>#DIV/0!</v>
      </c>
      <c r="DZ13" s="19" t="e">
        <f t="shared" si="125"/>
        <v>#DIV/0!</v>
      </c>
      <c r="EA13" s="19" t="e">
        <f t="shared" si="125"/>
        <v>#DIV/0!</v>
      </c>
      <c r="EB13" s="19" t="e">
        <f t="shared" si="125"/>
        <v>#DIV/0!</v>
      </c>
      <c r="EC13" s="19" t="e">
        <f t="shared" si="125"/>
        <v>#DIV/0!</v>
      </c>
      <c r="ED13" s="19" t="e">
        <f t="shared" si="125"/>
        <v>#DIV/0!</v>
      </c>
      <c r="EE13" s="19" t="e">
        <f t="shared" si="125"/>
        <v>#DIV/0!</v>
      </c>
      <c r="EF13" s="19" t="e">
        <f t="shared" si="125"/>
        <v>#DIV/0!</v>
      </c>
      <c r="EG13" s="19" t="e">
        <f t="shared" si="125"/>
        <v>#DIV/0!</v>
      </c>
      <c r="EH13" s="19" t="e">
        <f t="shared" si="125"/>
        <v>#DIV/0!</v>
      </c>
      <c r="EI13" s="19" t="e">
        <f t="shared" si="125"/>
        <v>#DIV/0!</v>
      </c>
      <c r="EJ13" s="19" t="e">
        <f t="shared" si="125"/>
        <v>#DIV/0!</v>
      </c>
      <c r="EK13" s="19" t="e">
        <f t="shared" si="125"/>
        <v>#DIV/0!</v>
      </c>
      <c r="EL13" s="19" t="e">
        <f t="shared" si="125"/>
        <v>#DIV/0!</v>
      </c>
      <c r="EM13" s="19" t="e">
        <f t="shared" si="125"/>
        <v>#DIV/0!</v>
      </c>
      <c r="EN13" s="19" t="e">
        <f t="shared" si="125"/>
        <v>#DIV/0!</v>
      </c>
      <c r="EO13" s="19" t="e">
        <f t="shared" si="125"/>
        <v>#DIV/0!</v>
      </c>
      <c r="EP13" s="19" t="e">
        <f t="shared" si="125"/>
        <v>#DIV/0!</v>
      </c>
      <c r="EQ13" s="19" t="e">
        <f t="shared" si="125"/>
        <v>#DIV/0!</v>
      </c>
      <c r="ER13" s="19" t="e">
        <f t="shared" si="125"/>
        <v>#DIV/0!</v>
      </c>
      <c r="ES13" s="19" t="e">
        <f t="shared" si="125"/>
        <v>#DIV/0!</v>
      </c>
      <c r="ET13" s="19" t="e">
        <f t="shared" si="125"/>
        <v>#DIV/0!</v>
      </c>
      <c r="EU13" s="19" t="e">
        <f t="shared" si="125"/>
        <v>#DIV/0!</v>
      </c>
      <c r="EV13" s="19" t="e">
        <f t="shared" si="125"/>
        <v>#DIV/0!</v>
      </c>
      <c r="EW13" s="19" t="e">
        <f t="shared" si="125"/>
        <v>#DIV/0!</v>
      </c>
      <c r="EX13" s="19" t="e">
        <f t="shared" si="125"/>
        <v>#DIV/0!</v>
      </c>
      <c r="EY13" s="19" t="e">
        <f t="shared" ref="EY13" si="126">EY11/EY9</f>
        <v>#DIV/0!</v>
      </c>
    </row>
    <row r="14" spans="1:155" x14ac:dyDescent="0.3">
      <c r="A14" s="36"/>
      <c r="B14" s="36"/>
      <c r="C14" s="39"/>
      <c r="D14" s="15" t="s">
        <v>17</v>
      </c>
      <c r="E14" s="20" t="e">
        <f>E11/E10</f>
        <v>#DIV/0!</v>
      </c>
      <c r="F14" s="20" t="e">
        <f t="shared" ref="F14:AA14" si="127">F11/F10</f>
        <v>#DIV/0!</v>
      </c>
      <c r="G14" s="20" t="e">
        <f t="shared" si="127"/>
        <v>#DIV/0!</v>
      </c>
      <c r="H14" s="20" t="e">
        <f t="shared" si="127"/>
        <v>#DIV/0!</v>
      </c>
      <c r="I14" s="20" t="e">
        <f t="shared" si="127"/>
        <v>#DIV/0!</v>
      </c>
      <c r="J14" s="20" t="e">
        <f t="shared" si="127"/>
        <v>#DIV/0!</v>
      </c>
      <c r="K14" s="20" t="e">
        <f t="shared" si="127"/>
        <v>#DIV/0!</v>
      </c>
      <c r="L14" s="20" t="e">
        <f t="shared" si="127"/>
        <v>#DIV/0!</v>
      </c>
      <c r="M14" s="20" t="e">
        <f t="shared" si="127"/>
        <v>#DIV/0!</v>
      </c>
      <c r="N14" s="20" t="e">
        <f t="shared" si="127"/>
        <v>#DIV/0!</v>
      </c>
      <c r="O14" s="20" t="e">
        <f t="shared" si="127"/>
        <v>#DIV/0!</v>
      </c>
      <c r="P14" s="20" t="e">
        <f t="shared" si="127"/>
        <v>#DIV/0!</v>
      </c>
      <c r="Q14" s="20" t="e">
        <f t="shared" si="127"/>
        <v>#DIV/0!</v>
      </c>
      <c r="R14" s="20" t="e">
        <f t="shared" si="127"/>
        <v>#DIV/0!</v>
      </c>
      <c r="S14" s="20" t="e">
        <f t="shared" si="127"/>
        <v>#DIV/0!</v>
      </c>
      <c r="T14" s="20" t="e">
        <f t="shared" si="127"/>
        <v>#DIV/0!</v>
      </c>
      <c r="U14" s="20" t="e">
        <f t="shared" si="127"/>
        <v>#DIV/0!</v>
      </c>
      <c r="V14" s="20" t="e">
        <f t="shared" si="127"/>
        <v>#DIV/0!</v>
      </c>
      <c r="W14" s="20" t="e">
        <f t="shared" si="127"/>
        <v>#DIV/0!</v>
      </c>
      <c r="X14" s="20" t="e">
        <f t="shared" si="127"/>
        <v>#DIV/0!</v>
      </c>
      <c r="Y14" s="20" t="e">
        <f t="shared" si="127"/>
        <v>#DIV/0!</v>
      </c>
      <c r="Z14" s="20" t="e">
        <f t="shared" si="127"/>
        <v>#DIV/0!</v>
      </c>
      <c r="AA14" s="20" t="e">
        <f t="shared" si="127"/>
        <v>#DIV/0!</v>
      </c>
      <c r="AB14" s="20" t="e">
        <f>AB12/AB10</f>
        <v>#DIV/0!</v>
      </c>
      <c r="AC14" s="20" t="e">
        <f t="shared" ref="AC14:AL14" si="128">AC12/AC10</f>
        <v>#DIV/0!</v>
      </c>
      <c r="AD14" s="20" t="e">
        <f t="shared" si="128"/>
        <v>#DIV/0!</v>
      </c>
      <c r="AE14" s="20" t="e">
        <f t="shared" si="128"/>
        <v>#DIV/0!</v>
      </c>
      <c r="AF14" s="20" t="e">
        <f t="shared" si="128"/>
        <v>#DIV/0!</v>
      </c>
      <c r="AG14" s="20" t="e">
        <f t="shared" si="128"/>
        <v>#DIV/0!</v>
      </c>
      <c r="AH14" s="20" t="e">
        <f t="shared" si="128"/>
        <v>#DIV/0!</v>
      </c>
      <c r="AI14" s="20" t="e">
        <f t="shared" si="128"/>
        <v>#DIV/0!</v>
      </c>
      <c r="AJ14" s="20" t="e">
        <f t="shared" si="128"/>
        <v>#DIV/0!</v>
      </c>
      <c r="AK14" s="20" t="e">
        <f t="shared" si="128"/>
        <v>#DIV/0!</v>
      </c>
      <c r="AL14" s="20" t="e">
        <f t="shared" si="128"/>
        <v>#DIV/0!</v>
      </c>
      <c r="AM14" s="20" t="e">
        <f>AM12/AM10</f>
        <v>#DIV/0!</v>
      </c>
      <c r="AN14" s="20" t="e">
        <f t="shared" ref="AN14:AR14" si="129">AN12/AN10</f>
        <v>#DIV/0!</v>
      </c>
      <c r="AO14" s="20" t="e">
        <f t="shared" si="129"/>
        <v>#DIV/0!</v>
      </c>
      <c r="AP14" s="20" t="e">
        <f t="shared" si="129"/>
        <v>#DIV/0!</v>
      </c>
      <c r="AQ14" s="20" t="e">
        <f t="shared" si="129"/>
        <v>#DIV/0!</v>
      </c>
      <c r="AR14" s="20" t="e">
        <f t="shared" si="129"/>
        <v>#DIV/0!</v>
      </c>
      <c r="AS14" s="20" t="e">
        <f t="shared" ref="AS14:CW14" si="130">AS11/AS10</f>
        <v>#DIV/0!</v>
      </c>
      <c r="AT14" s="20" t="e">
        <f t="shared" si="130"/>
        <v>#DIV/0!</v>
      </c>
      <c r="AU14" s="20" t="e">
        <f t="shared" si="130"/>
        <v>#DIV/0!</v>
      </c>
      <c r="AV14" s="20" t="e">
        <f t="shared" si="130"/>
        <v>#DIV/0!</v>
      </c>
      <c r="AW14" s="20" t="e">
        <f t="shared" si="130"/>
        <v>#DIV/0!</v>
      </c>
      <c r="AX14" s="20" t="e">
        <f t="shared" si="130"/>
        <v>#DIV/0!</v>
      </c>
      <c r="AY14" s="20" t="e">
        <f t="shared" si="130"/>
        <v>#DIV/0!</v>
      </c>
      <c r="AZ14" s="20" t="e">
        <f t="shared" si="130"/>
        <v>#DIV/0!</v>
      </c>
      <c r="BA14" s="20" t="e">
        <f t="shared" si="130"/>
        <v>#DIV/0!</v>
      </c>
      <c r="BB14" s="20" t="e">
        <f t="shared" si="130"/>
        <v>#DIV/0!</v>
      </c>
      <c r="BC14" s="20" t="e">
        <f t="shared" si="130"/>
        <v>#DIV/0!</v>
      </c>
      <c r="BD14" s="20" t="e">
        <f t="shared" si="130"/>
        <v>#DIV/0!</v>
      </c>
      <c r="BE14" s="20" t="e">
        <f t="shared" si="130"/>
        <v>#DIV/0!</v>
      </c>
      <c r="BF14" s="20" t="e">
        <f t="shared" si="130"/>
        <v>#DIV/0!</v>
      </c>
      <c r="BG14" s="20" t="e">
        <f t="shared" si="130"/>
        <v>#DIV/0!</v>
      </c>
      <c r="BH14" s="20" t="e">
        <f t="shared" si="130"/>
        <v>#DIV/0!</v>
      </c>
      <c r="BI14" s="20" t="e">
        <f t="shared" si="130"/>
        <v>#DIV/0!</v>
      </c>
      <c r="BJ14" s="20" t="e">
        <f t="shared" si="130"/>
        <v>#DIV/0!</v>
      </c>
      <c r="BK14" s="20" t="e">
        <f t="shared" si="130"/>
        <v>#DIV/0!</v>
      </c>
      <c r="BL14" s="20" t="e">
        <f t="shared" si="130"/>
        <v>#DIV/0!</v>
      </c>
      <c r="BM14" s="20" t="e">
        <f t="shared" si="130"/>
        <v>#DIV/0!</v>
      </c>
      <c r="BN14" s="20" t="e">
        <f t="shared" si="130"/>
        <v>#DIV/0!</v>
      </c>
      <c r="BO14" s="20" t="e">
        <f t="shared" si="130"/>
        <v>#DIV/0!</v>
      </c>
      <c r="BP14" s="20" t="e">
        <f t="shared" si="130"/>
        <v>#DIV/0!</v>
      </c>
      <c r="BQ14" s="20" t="e">
        <f t="shared" si="130"/>
        <v>#DIV/0!</v>
      </c>
      <c r="BR14" s="20" t="e">
        <f t="shared" si="130"/>
        <v>#DIV/0!</v>
      </c>
      <c r="BS14" s="20" t="e">
        <f t="shared" si="130"/>
        <v>#DIV/0!</v>
      </c>
      <c r="BT14" s="20">
        <f>BT11/BT10</f>
        <v>1</v>
      </c>
      <c r="BU14" s="20">
        <f t="shared" si="130"/>
        <v>1</v>
      </c>
      <c r="BV14" s="20">
        <f>BV11/BV10</f>
        <v>0.6</v>
      </c>
      <c r="BW14" s="20">
        <f t="shared" si="130"/>
        <v>0.6</v>
      </c>
      <c r="BX14" s="20">
        <f t="shared" si="130"/>
        <v>0.94000000000000006</v>
      </c>
      <c r="BY14" s="20">
        <f t="shared" si="130"/>
        <v>1.5</v>
      </c>
      <c r="BZ14" s="20">
        <f t="shared" si="130"/>
        <v>1.4</v>
      </c>
      <c r="CA14" s="20">
        <f t="shared" si="130"/>
        <v>1.4</v>
      </c>
      <c r="CB14" s="20">
        <f t="shared" si="130"/>
        <v>1.5555555555555556</v>
      </c>
      <c r="CC14" s="20">
        <f t="shared" si="130"/>
        <v>1.4444444444444444</v>
      </c>
      <c r="CD14" s="20">
        <f t="shared" si="130"/>
        <v>1.1000000000000001</v>
      </c>
      <c r="CE14" s="20">
        <f t="shared" si="130"/>
        <v>1.1000000000000001</v>
      </c>
      <c r="CF14" s="20">
        <f t="shared" si="130"/>
        <v>1.4444444444444444</v>
      </c>
      <c r="CG14" s="20">
        <f t="shared" si="130"/>
        <v>1.4444444444444444</v>
      </c>
      <c r="CH14" s="20">
        <f t="shared" si="130"/>
        <v>1.3333333333333333</v>
      </c>
      <c r="CI14" s="20">
        <f t="shared" si="130"/>
        <v>1.4444444444444444</v>
      </c>
      <c r="CJ14" s="20">
        <f t="shared" si="130"/>
        <v>1.4444444444444444</v>
      </c>
      <c r="CK14" s="20">
        <f t="shared" si="130"/>
        <v>1.4444444444444444</v>
      </c>
      <c r="CL14" s="20">
        <f t="shared" si="130"/>
        <v>1.3333333333333333</v>
      </c>
      <c r="CM14" s="20">
        <f t="shared" si="130"/>
        <v>1.3333333333333333</v>
      </c>
      <c r="CN14" s="20">
        <f t="shared" si="130"/>
        <v>1.3333333333333333</v>
      </c>
      <c r="CO14" s="20">
        <f t="shared" si="130"/>
        <v>1.3333333333333333</v>
      </c>
      <c r="CP14" s="20">
        <f t="shared" si="130"/>
        <v>1.2222222222222223</v>
      </c>
      <c r="CQ14" s="20">
        <f t="shared" si="130"/>
        <v>1</v>
      </c>
      <c r="CR14" s="20">
        <f t="shared" si="130"/>
        <v>1.1111111111111112</v>
      </c>
      <c r="CS14" s="20">
        <f t="shared" si="130"/>
        <v>1.1111111111111112</v>
      </c>
      <c r="CT14" s="20">
        <f t="shared" si="130"/>
        <v>1.2222222222222223</v>
      </c>
      <c r="CU14" s="20">
        <f t="shared" si="130"/>
        <v>1.2222222222222223</v>
      </c>
      <c r="CV14" s="20">
        <f t="shared" si="130"/>
        <v>1.2222222222222223</v>
      </c>
      <c r="CW14" s="20">
        <f t="shared" si="130"/>
        <v>1.2222222222222223</v>
      </c>
      <c r="CX14" s="20">
        <f t="shared" ref="CX14:CY14" si="131">CX11/CX10</f>
        <v>1.1111111111111112</v>
      </c>
      <c r="CY14" s="20">
        <f t="shared" si="131"/>
        <v>1.1111111111111112</v>
      </c>
      <c r="CZ14" s="20">
        <f t="shared" ref="CZ14:EX14" si="132">CZ11/CZ10</f>
        <v>1.1111111111111112</v>
      </c>
      <c r="DA14" s="20">
        <f t="shared" si="132"/>
        <v>1.1111111111111112</v>
      </c>
      <c r="DB14" s="20">
        <f t="shared" si="132"/>
        <v>1.1111111111111112</v>
      </c>
      <c r="DC14" s="20">
        <f t="shared" si="132"/>
        <v>1.1111111111111112</v>
      </c>
      <c r="DD14" s="20">
        <f t="shared" si="132"/>
        <v>1.1111111111111112</v>
      </c>
      <c r="DE14" s="20">
        <f t="shared" si="132"/>
        <v>1</v>
      </c>
      <c r="DF14" s="20">
        <f t="shared" si="132"/>
        <v>0.88888888888888884</v>
      </c>
      <c r="DG14" s="20">
        <f t="shared" si="132"/>
        <v>0.77777777777777779</v>
      </c>
      <c r="DH14" s="20">
        <f t="shared" si="132"/>
        <v>0.88888888888888884</v>
      </c>
      <c r="DI14" s="20">
        <f t="shared" si="132"/>
        <v>1.1428571428571428</v>
      </c>
      <c r="DJ14" s="20">
        <f t="shared" si="132"/>
        <v>1.3333333333333333</v>
      </c>
      <c r="DK14" s="20">
        <f t="shared" si="132"/>
        <v>0.8571428571428571</v>
      </c>
      <c r="DL14" s="20">
        <f t="shared" si="132"/>
        <v>1</v>
      </c>
      <c r="DM14" s="20">
        <f t="shared" si="132"/>
        <v>1.2878787878787878</v>
      </c>
      <c r="DN14" s="20">
        <f t="shared" si="132"/>
        <v>1.4166666666666667</v>
      </c>
      <c r="DO14" s="20">
        <f t="shared" si="132"/>
        <v>1.0588235294117647</v>
      </c>
      <c r="DP14" s="20">
        <f t="shared" si="132"/>
        <v>1</v>
      </c>
      <c r="DQ14" s="20">
        <f t="shared" si="132"/>
        <v>0.93939393939393945</v>
      </c>
      <c r="DR14" s="20">
        <f t="shared" si="132"/>
        <v>1.0606060606060606</v>
      </c>
      <c r="DS14" s="20">
        <f t="shared" si="132"/>
        <v>0.90909090909090906</v>
      </c>
      <c r="DT14" s="20">
        <f t="shared" si="132"/>
        <v>0.90909090909090906</v>
      </c>
      <c r="DU14" s="20">
        <f t="shared" si="132"/>
        <v>0.90909090909090906</v>
      </c>
      <c r="DV14" s="20">
        <f t="shared" si="132"/>
        <v>1.15625</v>
      </c>
      <c r="DW14" s="20">
        <f t="shared" si="132"/>
        <v>1.15625</v>
      </c>
      <c r="DX14" s="20">
        <f t="shared" si="132"/>
        <v>1.21875</v>
      </c>
      <c r="DY14" s="20">
        <f t="shared" si="132"/>
        <v>1.2</v>
      </c>
      <c r="DZ14" s="20">
        <f t="shared" si="132"/>
        <v>1.1000000000000001</v>
      </c>
      <c r="EA14" s="20">
        <f t="shared" si="132"/>
        <v>1.1000000000000001</v>
      </c>
      <c r="EB14" s="20">
        <f t="shared" si="132"/>
        <v>1.3333333333333333</v>
      </c>
      <c r="EC14" s="20">
        <f t="shared" si="132"/>
        <v>1.3</v>
      </c>
      <c r="ED14" s="20">
        <f t="shared" si="132"/>
        <v>1.2666666666666666</v>
      </c>
      <c r="EE14" s="20">
        <f t="shared" si="132"/>
        <v>1.2</v>
      </c>
      <c r="EF14" s="20">
        <f t="shared" si="132"/>
        <v>1.4523333333333333</v>
      </c>
      <c r="EG14" s="20">
        <f t="shared" si="132"/>
        <v>1.3856666666666666</v>
      </c>
      <c r="EH14" s="20">
        <f t="shared" si="132"/>
        <v>1.319</v>
      </c>
      <c r="EI14" s="20">
        <f t="shared" si="132"/>
        <v>1.2523333333333333</v>
      </c>
      <c r="EJ14" s="20">
        <f t="shared" si="132"/>
        <v>1.1856666666666666</v>
      </c>
      <c r="EK14" s="20">
        <f t="shared" si="132"/>
        <v>1.119</v>
      </c>
      <c r="EL14" s="20">
        <f t="shared" si="132"/>
        <v>1.3417301333333334</v>
      </c>
      <c r="EM14" s="20">
        <f t="shared" si="132"/>
        <v>1.2750634666666667</v>
      </c>
      <c r="EN14" s="20">
        <f t="shared" si="132"/>
        <v>1.2083968</v>
      </c>
      <c r="EO14" s="20">
        <f t="shared" si="132"/>
        <v>1.1417301333333334</v>
      </c>
      <c r="EP14" s="20">
        <f t="shared" si="132"/>
        <v>1.0750634666666667</v>
      </c>
      <c r="EQ14" s="20">
        <f t="shared" si="132"/>
        <v>1.0083968000000001</v>
      </c>
      <c r="ER14" s="20">
        <f t="shared" si="132"/>
        <v>1.2311269333333335</v>
      </c>
      <c r="ES14" s="20">
        <f t="shared" si="132"/>
        <v>1.1644602666666668</v>
      </c>
      <c r="ET14" s="20">
        <f t="shared" si="132"/>
        <v>1.0977936000000001</v>
      </c>
      <c r="EU14" s="20">
        <f t="shared" si="132"/>
        <v>0.87270999999999943</v>
      </c>
      <c r="EV14" s="20">
        <f t="shared" si="132"/>
        <v>0.87270999999999943</v>
      </c>
      <c r="EW14" s="20">
        <f t="shared" si="132"/>
        <v>0.87270999999999943</v>
      </c>
      <c r="EX14" s="20">
        <f t="shared" si="132"/>
        <v>0.87270999999999943</v>
      </c>
      <c r="EY14" s="20">
        <f t="shared" ref="EY14" si="133">EY11/EY10</f>
        <v>0.91801777777777716</v>
      </c>
    </row>
    <row r="16" spans="1:155" x14ac:dyDescent="0.3">
      <c r="A16" s="36" t="s">
        <v>37</v>
      </c>
      <c r="B16" s="36" t="s">
        <v>37</v>
      </c>
      <c r="C16" s="37" t="s">
        <v>2</v>
      </c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>
        <v>26</v>
      </c>
      <c r="CH17" s="17">
        <v>26</v>
      </c>
      <c r="CI17" s="17">
        <v>23</v>
      </c>
      <c r="CJ17" s="17">
        <v>23</v>
      </c>
      <c r="CK17" s="17">
        <v>23</v>
      </c>
      <c r="CL17" s="17">
        <v>23</v>
      </c>
      <c r="CM17" s="17">
        <v>23</v>
      </c>
      <c r="CN17" s="17">
        <v>23</v>
      </c>
      <c r="CO17" s="17">
        <v>23</v>
      </c>
      <c r="CP17" s="17">
        <v>23</v>
      </c>
      <c r="CQ17" s="17">
        <v>23</v>
      </c>
      <c r="CR17" s="17">
        <v>23</v>
      </c>
      <c r="CS17" s="17">
        <v>23</v>
      </c>
      <c r="CT17" s="17">
        <v>23</v>
      </c>
      <c r="CU17" s="17">
        <v>23</v>
      </c>
      <c r="CV17" s="17">
        <v>23</v>
      </c>
      <c r="CW17" s="17">
        <v>23</v>
      </c>
      <c r="CX17" s="17">
        <v>23</v>
      </c>
      <c r="CY17" s="17">
        <v>23</v>
      </c>
      <c r="CZ17" s="17">
        <v>23</v>
      </c>
      <c r="DA17" s="17">
        <v>23</v>
      </c>
      <c r="DB17" s="17">
        <v>23</v>
      </c>
      <c r="DC17" s="17">
        <v>23</v>
      </c>
      <c r="DD17" s="17">
        <v>23</v>
      </c>
      <c r="DE17" s="17">
        <v>23</v>
      </c>
      <c r="DF17" s="17">
        <v>23</v>
      </c>
      <c r="DG17" s="17">
        <v>23</v>
      </c>
      <c r="DH17" s="17">
        <v>23</v>
      </c>
      <c r="DI17" s="17">
        <v>23</v>
      </c>
      <c r="DJ17" s="17">
        <v>23</v>
      </c>
      <c r="DK17" s="17">
        <v>23</v>
      </c>
      <c r="DL17" s="17">
        <v>23</v>
      </c>
      <c r="DM17" s="17">
        <v>23</v>
      </c>
      <c r="DN17" s="17">
        <v>23</v>
      </c>
      <c r="DO17" s="17">
        <v>23</v>
      </c>
      <c r="DP17" s="17">
        <v>23</v>
      </c>
      <c r="DQ17" s="17">
        <v>23</v>
      </c>
      <c r="DR17" s="17">
        <v>23</v>
      </c>
      <c r="DS17" s="17">
        <v>23</v>
      </c>
      <c r="DT17" s="17">
        <v>23</v>
      </c>
      <c r="DU17" s="17">
        <v>23</v>
      </c>
      <c r="DV17" s="17">
        <v>23</v>
      </c>
      <c r="DW17" s="17">
        <v>23</v>
      </c>
      <c r="DX17" s="17">
        <v>23</v>
      </c>
      <c r="DY17" s="17">
        <v>23</v>
      </c>
      <c r="DZ17" s="17">
        <v>15</v>
      </c>
      <c r="EA17" s="17">
        <v>15</v>
      </c>
      <c r="EB17" s="17">
        <v>15</v>
      </c>
      <c r="EC17" s="17">
        <v>15</v>
      </c>
      <c r="ED17" s="17">
        <v>15</v>
      </c>
      <c r="EE17" s="17">
        <v>15</v>
      </c>
      <c r="EF17" s="17">
        <v>15</v>
      </c>
      <c r="EG17" s="17">
        <v>15</v>
      </c>
      <c r="EH17" s="17">
        <v>15</v>
      </c>
      <c r="EI17" s="17">
        <v>15</v>
      </c>
      <c r="EJ17" s="17">
        <v>15</v>
      </c>
      <c r="EK17" s="17">
        <v>15</v>
      </c>
      <c r="EL17" s="17">
        <v>15</v>
      </c>
      <c r="EM17" s="17">
        <v>15</v>
      </c>
      <c r="EN17" s="17">
        <v>15</v>
      </c>
      <c r="EO17" s="17">
        <v>15</v>
      </c>
      <c r="EP17" s="17">
        <v>15</v>
      </c>
      <c r="EQ17" s="17">
        <v>15</v>
      </c>
      <c r="ER17" s="17">
        <v>15</v>
      </c>
      <c r="ES17" s="17">
        <v>15</v>
      </c>
      <c r="ET17" s="17">
        <v>15</v>
      </c>
      <c r="EU17" s="17">
        <v>23</v>
      </c>
      <c r="EV17" s="17">
        <v>23</v>
      </c>
      <c r="EW17" s="17">
        <v>23</v>
      </c>
      <c r="EX17" s="17">
        <v>23</v>
      </c>
      <c r="EY17" s="17">
        <v>23</v>
      </c>
    </row>
    <row r="18" spans="1:155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>
        <v>14</v>
      </c>
      <c r="CH18" s="18">
        <v>22.4</v>
      </c>
      <c r="CI18" s="18">
        <v>24</v>
      </c>
      <c r="CJ18" s="18">
        <v>22</v>
      </c>
      <c r="CK18" s="18">
        <v>21</v>
      </c>
      <c r="CL18" s="18">
        <v>21</v>
      </c>
      <c r="CM18" s="18">
        <v>21</v>
      </c>
      <c r="CN18" s="18">
        <v>19</v>
      </c>
      <c r="CO18" s="22">
        <v>26</v>
      </c>
      <c r="CP18" s="22">
        <v>26</v>
      </c>
      <c r="CQ18" s="22">
        <v>25</v>
      </c>
      <c r="CR18" s="22">
        <v>25</v>
      </c>
      <c r="CS18" s="22">
        <v>23</v>
      </c>
      <c r="CT18" s="22">
        <v>23</v>
      </c>
      <c r="CU18" s="22">
        <v>21</v>
      </c>
      <c r="CV18" s="22">
        <v>21</v>
      </c>
      <c r="CW18" s="22">
        <v>26</v>
      </c>
      <c r="CX18" s="22">
        <v>25</v>
      </c>
      <c r="CY18" s="22">
        <v>24</v>
      </c>
      <c r="CZ18" s="22">
        <v>22</v>
      </c>
      <c r="DA18" s="22">
        <v>22</v>
      </c>
      <c r="DB18" s="22">
        <v>22</v>
      </c>
      <c r="DC18" s="22">
        <v>22</v>
      </c>
      <c r="DD18" s="22">
        <v>22</v>
      </c>
      <c r="DE18" s="22">
        <v>31</v>
      </c>
      <c r="DF18" s="22">
        <v>31</v>
      </c>
      <c r="DG18" s="22">
        <v>31</v>
      </c>
      <c r="DH18" s="22">
        <v>29</v>
      </c>
      <c r="DI18" s="22">
        <v>29</v>
      </c>
      <c r="DJ18" s="22">
        <v>28</v>
      </c>
      <c r="DK18" s="22">
        <v>28</v>
      </c>
      <c r="DL18" s="22">
        <v>27</v>
      </c>
      <c r="DM18" s="22">
        <v>26.657</v>
      </c>
      <c r="DN18" s="22">
        <v>27.024999999999999</v>
      </c>
      <c r="DO18" s="22">
        <v>27.094000000000001</v>
      </c>
      <c r="DP18" s="22">
        <v>27.37</v>
      </c>
      <c r="DQ18" s="22">
        <v>26.542000000000002</v>
      </c>
      <c r="DR18" s="22">
        <v>26.542000000000002</v>
      </c>
      <c r="DS18" s="22">
        <v>27.37</v>
      </c>
      <c r="DT18" s="22">
        <v>28.175000000000001</v>
      </c>
      <c r="DU18" s="22">
        <v>28.175000000000001</v>
      </c>
      <c r="DV18" s="22">
        <v>28.175000000000001</v>
      </c>
      <c r="DW18" s="22">
        <v>28.129000000000001</v>
      </c>
      <c r="DX18" s="22">
        <v>28.129000000000001</v>
      </c>
      <c r="DY18" s="22">
        <v>27.301000000000002</v>
      </c>
      <c r="DZ18" s="22">
        <v>17.395499999999998</v>
      </c>
      <c r="EA18" s="22">
        <v>17.395499999999998</v>
      </c>
      <c r="EB18" s="22">
        <v>17.395499999999998</v>
      </c>
      <c r="EC18" s="22">
        <v>17.395499999999998</v>
      </c>
      <c r="ED18" s="22">
        <v>17.395499999999998</v>
      </c>
      <c r="EE18" s="22">
        <v>17.395499999999998</v>
      </c>
      <c r="EF18" s="22">
        <v>17.395499999999998</v>
      </c>
      <c r="EG18" s="22">
        <v>17.395499999999998</v>
      </c>
      <c r="EH18" s="22">
        <v>17.395499999999998</v>
      </c>
      <c r="EI18" s="22">
        <v>17.395499999999998</v>
      </c>
      <c r="EJ18" s="22">
        <v>17.395499999999998</v>
      </c>
      <c r="EK18" s="22">
        <v>17.395499999999998</v>
      </c>
      <c r="EL18" s="22">
        <v>17.395499999999998</v>
      </c>
      <c r="EM18" s="22">
        <v>17.395499999999998</v>
      </c>
      <c r="EN18" s="22">
        <v>17.395499999999998</v>
      </c>
      <c r="EO18" s="22">
        <v>17.395499999999998</v>
      </c>
      <c r="EP18" s="22">
        <v>17.395499999999998</v>
      </c>
      <c r="EQ18" s="22">
        <v>17.395499999999998</v>
      </c>
      <c r="ER18" s="22">
        <v>17.395499999999998</v>
      </c>
      <c r="ES18" s="22">
        <v>17.395499999999998</v>
      </c>
      <c r="ET18" s="22">
        <v>17.395499999999998</v>
      </c>
      <c r="EU18" s="22">
        <v>23.535825047444447</v>
      </c>
      <c r="EV18" s="22">
        <v>22.535825047444447</v>
      </c>
      <c r="EW18" s="22">
        <v>22.535825047444447</v>
      </c>
      <c r="EX18" s="22">
        <v>21.535825047444447</v>
      </c>
      <c r="EY18" s="22">
        <v>21.535825047444447</v>
      </c>
    </row>
    <row r="19" spans="1:155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14</v>
      </c>
      <c r="CH19" s="18">
        <f t="shared" ref="CH19:CW19" si="134">CH18</f>
        <v>22.4</v>
      </c>
      <c r="CI19" s="18">
        <f t="shared" si="134"/>
        <v>24</v>
      </c>
      <c r="CJ19" s="18">
        <f t="shared" si="134"/>
        <v>22</v>
      </c>
      <c r="CK19" s="18">
        <f t="shared" si="134"/>
        <v>21</v>
      </c>
      <c r="CL19" s="18">
        <f t="shared" si="134"/>
        <v>21</v>
      </c>
      <c r="CM19" s="18">
        <f t="shared" si="134"/>
        <v>21</v>
      </c>
      <c r="CN19" s="18">
        <f t="shared" si="134"/>
        <v>19</v>
      </c>
      <c r="CO19" s="22">
        <f t="shared" si="134"/>
        <v>26</v>
      </c>
      <c r="CP19" s="22">
        <f t="shared" si="134"/>
        <v>26</v>
      </c>
      <c r="CQ19" s="22">
        <f t="shared" si="134"/>
        <v>25</v>
      </c>
      <c r="CR19" s="22">
        <f t="shared" si="134"/>
        <v>25</v>
      </c>
      <c r="CS19" s="22">
        <f t="shared" si="134"/>
        <v>23</v>
      </c>
      <c r="CT19" s="22">
        <f t="shared" si="134"/>
        <v>23</v>
      </c>
      <c r="CU19" s="22">
        <f t="shared" si="134"/>
        <v>21</v>
      </c>
      <c r="CV19" s="22">
        <f t="shared" si="134"/>
        <v>21</v>
      </c>
      <c r="CW19" s="22">
        <f t="shared" si="134"/>
        <v>26</v>
      </c>
      <c r="CX19" s="22">
        <f t="shared" ref="CX19:CY19" si="135">CX18</f>
        <v>25</v>
      </c>
      <c r="CY19" s="22">
        <f t="shared" si="135"/>
        <v>24</v>
      </c>
      <c r="CZ19" s="22">
        <f t="shared" ref="CZ19:EX19" si="136">CZ18</f>
        <v>22</v>
      </c>
      <c r="DA19" s="22">
        <f t="shared" si="136"/>
        <v>22</v>
      </c>
      <c r="DB19" s="22">
        <f t="shared" si="136"/>
        <v>22</v>
      </c>
      <c r="DC19" s="22">
        <f t="shared" si="136"/>
        <v>22</v>
      </c>
      <c r="DD19" s="22">
        <f t="shared" si="136"/>
        <v>22</v>
      </c>
      <c r="DE19" s="22">
        <f t="shared" si="136"/>
        <v>31</v>
      </c>
      <c r="DF19" s="22">
        <f t="shared" si="136"/>
        <v>31</v>
      </c>
      <c r="DG19" s="22">
        <f t="shared" si="136"/>
        <v>31</v>
      </c>
      <c r="DH19" s="22">
        <f t="shared" si="136"/>
        <v>29</v>
      </c>
      <c r="DI19" s="22">
        <f t="shared" si="136"/>
        <v>29</v>
      </c>
      <c r="DJ19" s="22">
        <f t="shared" si="136"/>
        <v>28</v>
      </c>
      <c r="DK19" s="22">
        <f t="shared" si="136"/>
        <v>28</v>
      </c>
      <c r="DL19" s="22">
        <f t="shared" si="136"/>
        <v>27</v>
      </c>
      <c r="DM19" s="22">
        <f t="shared" si="136"/>
        <v>26.657</v>
      </c>
      <c r="DN19" s="22">
        <f t="shared" si="136"/>
        <v>27.024999999999999</v>
      </c>
      <c r="DO19" s="22">
        <f t="shared" si="136"/>
        <v>27.094000000000001</v>
      </c>
      <c r="DP19" s="22">
        <f t="shared" si="136"/>
        <v>27.37</v>
      </c>
      <c r="DQ19" s="22">
        <f t="shared" si="136"/>
        <v>26.542000000000002</v>
      </c>
      <c r="DR19" s="22">
        <f t="shared" si="136"/>
        <v>26.542000000000002</v>
      </c>
      <c r="DS19" s="22">
        <f t="shared" si="136"/>
        <v>27.37</v>
      </c>
      <c r="DT19" s="22">
        <f t="shared" si="136"/>
        <v>28.175000000000001</v>
      </c>
      <c r="DU19" s="22">
        <f t="shared" si="136"/>
        <v>28.175000000000001</v>
      </c>
      <c r="DV19" s="22">
        <f t="shared" si="136"/>
        <v>28.175000000000001</v>
      </c>
      <c r="DW19" s="22">
        <f t="shared" si="136"/>
        <v>28.129000000000001</v>
      </c>
      <c r="DX19" s="22">
        <f t="shared" si="136"/>
        <v>28.129000000000001</v>
      </c>
      <c r="DY19" s="22">
        <f t="shared" si="136"/>
        <v>27.301000000000002</v>
      </c>
      <c r="DZ19" s="22">
        <f t="shared" si="136"/>
        <v>17.395499999999998</v>
      </c>
      <c r="EA19" s="22">
        <f t="shared" si="136"/>
        <v>17.395499999999998</v>
      </c>
      <c r="EB19" s="22">
        <f t="shared" si="136"/>
        <v>17.395499999999998</v>
      </c>
      <c r="EC19" s="22">
        <f t="shared" si="136"/>
        <v>17.395499999999998</v>
      </c>
      <c r="ED19" s="22">
        <f t="shared" si="136"/>
        <v>17.395499999999998</v>
      </c>
      <c r="EE19" s="22">
        <f t="shared" si="136"/>
        <v>17.395499999999998</v>
      </c>
      <c r="EF19" s="22">
        <f t="shared" si="136"/>
        <v>17.395499999999998</v>
      </c>
      <c r="EG19" s="22">
        <f t="shared" si="136"/>
        <v>17.395499999999998</v>
      </c>
      <c r="EH19" s="22">
        <f t="shared" si="136"/>
        <v>17.395499999999998</v>
      </c>
      <c r="EI19" s="22">
        <f t="shared" si="136"/>
        <v>17.395499999999998</v>
      </c>
      <c r="EJ19" s="22">
        <f t="shared" si="136"/>
        <v>17.395499999999998</v>
      </c>
      <c r="EK19" s="22">
        <f t="shared" si="136"/>
        <v>17.395499999999998</v>
      </c>
      <c r="EL19" s="22">
        <f t="shared" si="136"/>
        <v>17.395499999999998</v>
      </c>
      <c r="EM19" s="22">
        <f t="shared" si="136"/>
        <v>17.395499999999998</v>
      </c>
      <c r="EN19" s="22">
        <f t="shared" si="136"/>
        <v>17.395499999999998</v>
      </c>
      <c r="EO19" s="22">
        <f t="shared" si="136"/>
        <v>17.395499999999998</v>
      </c>
      <c r="EP19" s="22">
        <f t="shared" si="136"/>
        <v>17.395499999999998</v>
      </c>
      <c r="EQ19" s="22">
        <f t="shared" si="136"/>
        <v>17.395499999999998</v>
      </c>
      <c r="ER19" s="22">
        <f t="shared" si="136"/>
        <v>17.395499999999998</v>
      </c>
      <c r="ES19" s="22">
        <f t="shared" si="136"/>
        <v>17.395499999999998</v>
      </c>
      <c r="ET19" s="22">
        <f t="shared" si="136"/>
        <v>17.395499999999998</v>
      </c>
      <c r="EU19" s="22">
        <f t="shared" si="136"/>
        <v>23.535825047444447</v>
      </c>
      <c r="EV19" s="22">
        <f t="shared" si="136"/>
        <v>22.535825047444447</v>
      </c>
      <c r="EW19" s="22">
        <f t="shared" si="136"/>
        <v>22.535825047444447</v>
      </c>
      <c r="EX19" s="22">
        <f t="shared" si="136"/>
        <v>21.535825047444447</v>
      </c>
      <c r="EY19" s="22">
        <f t="shared" ref="EY19" si="137">EY18</f>
        <v>21.535825047444447</v>
      </c>
    </row>
    <row r="20" spans="1:155" x14ac:dyDescent="0.3">
      <c r="A20" s="36"/>
      <c r="B20" s="36"/>
      <c r="C20" s="38"/>
      <c r="D20" s="15" t="s">
        <v>16</v>
      </c>
      <c r="E20" s="19" t="e">
        <f t="shared" ref="E20:BP20" si="138">E18/E16</f>
        <v>#DIV/0!</v>
      </c>
      <c r="F20" s="19" t="e">
        <f t="shared" si="138"/>
        <v>#DIV/0!</v>
      </c>
      <c r="G20" s="19" t="e">
        <f t="shared" si="138"/>
        <v>#DIV/0!</v>
      </c>
      <c r="H20" s="19" t="e">
        <f t="shared" si="138"/>
        <v>#DIV/0!</v>
      </c>
      <c r="I20" s="19" t="e">
        <f t="shared" si="138"/>
        <v>#DIV/0!</v>
      </c>
      <c r="J20" s="19" t="e">
        <f t="shared" si="138"/>
        <v>#DIV/0!</v>
      </c>
      <c r="K20" s="19" t="e">
        <f t="shared" si="138"/>
        <v>#DIV/0!</v>
      </c>
      <c r="L20" s="19" t="e">
        <f t="shared" si="138"/>
        <v>#DIV/0!</v>
      </c>
      <c r="M20" s="19" t="e">
        <f t="shared" si="138"/>
        <v>#DIV/0!</v>
      </c>
      <c r="N20" s="19" t="e">
        <f t="shared" si="138"/>
        <v>#DIV/0!</v>
      </c>
      <c r="O20" s="19" t="e">
        <f t="shared" si="138"/>
        <v>#DIV/0!</v>
      </c>
      <c r="P20" s="19" t="e">
        <f t="shared" si="138"/>
        <v>#DIV/0!</v>
      </c>
      <c r="Q20" s="19" t="e">
        <f t="shared" si="138"/>
        <v>#DIV/0!</v>
      </c>
      <c r="R20" s="19" t="e">
        <f t="shared" si="138"/>
        <v>#DIV/0!</v>
      </c>
      <c r="S20" s="19" t="e">
        <f t="shared" si="138"/>
        <v>#DIV/0!</v>
      </c>
      <c r="T20" s="19" t="e">
        <f t="shared" si="138"/>
        <v>#DIV/0!</v>
      </c>
      <c r="U20" s="19" t="e">
        <f t="shared" si="138"/>
        <v>#DIV/0!</v>
      </c>
      <c r="V20" s="19" t="e">
        <f t="shared" si="138"/>
        <v>#DIV/0!</v>
      </c>
      <c r="W20" s="19" t="e">
        <f t="shared" si="138"/>
        <v>#DIV/0!</v>
      </c>
      <c r="X20" s="19" t="e">
        <f t="shared" si="138"/>
        <v>#DIV/0!</v>
      </c>
      <c r="Y20" s="19" t="e">
        <f t="shared" si="138"/>
        <v>#DIV/0!</v>
      </c>
      <c r="Z20" s="19" t="e">
        <f t="shared" si="138"/>
        <v>#DIV/0!</v>
      </c>
      <c r="AA20" s="19" t="e">
        <f t="shared" si="138"/>
        <v>#DIV/0!</v>
      </c>
      <c r="AB20" s="19" t="e">
        <f t="shared" si="138"/>
        <v>#DIV/0!</v>
      </c>
      <c r="AC20" s="19" t="e">
        <f t="shared" si="138"/>
        <v>#DIV/0!</v>
      </c>
      <c r="AD20" s="19" t="e">
        <f t="shared" si="138"/>
        <v>#DIV/0!</v>
      </c>
      <c r="AE20" s="19" t="e">
        <f t="shared" si="138"/>
        <v>#DIV/0!</v>
      </c>
      <c r="AF20" s="19" t="e">
        <f t="shared" si="138"/>
        <v>#DIV/0!</v>
      </c>
      <c r="AG20" s="19" t="e">
        <f t="shared" si="138"/>
        <v>#DIV/0!</v>
      </c>
      <c r="AH20" s="19" t="e">
        <f t="shared" si="138"/>
        <v>#DIV/0!</v>
      </c>
      <c r="AI20" s="19" t="e">
        <f t="shared" si="138"/>
        <v>#DIV/0!</v>
      </c>
      <c r="AJ20" s="19" t="e">
        <f t="shared" si="138"/>
        <v>#DIV/0!</v>
      </c>
      <c r="AK20" s="19" t="e">
        <f t="shared" si="138"/>
        <v>#DIV/0!</v>
      </c>
      <c r="AL20" s="19" t="e">
        <f t="shared" si="138"/>
        <v>#DIV/0!</v>
      </c>
      <c r="AM20" s="19" t="e">
        <f t="shared" si="138"/>
        <v>#DIV/0!</v>
      </c>
      <c r="AN20" s="19" t="e">
        <f t="shared" si="138"/>
        <v>#DIV/0!</v>
      </c>
      <c r="AO20" s="19" t="e">
        <f t="shared" si="138"/>
        <v>#DIV/0!</v>
      </c>
      <c r="AP20" s="19" t="e">
        <f t="shared" si="138"/>
        <v>#DIV/0!</v>
      </c>
      <c r="AQ20" s="19" t="e">
        <f t="shared" si="138"/>
        <v>#DIV/0!</v>
      </c>
      <c r="AR20" s="19" t="e">
        <f t="shared" si="138"/>
        <v>#DIV/0!</v>
      </c>
      <c r="AS20" s="19" t="e">
        <f t="shared" si="138"/>
        <v>#DIV/0!</v>
      </c>
      <c r="AT20" s="19" t="e">
        <f t="shared" si="138"/>
        <v>#DIV/0!</v>
      </c>
      <c r="AU20" s="19" t="e">
        <f t="shared" si="138"/>
        <v>#DIV/0!</v>
      </c>
      <c r="AV20" s="19" t="e">
        <f t="shared" si="138"/>
        <v>#DIV/0!</v>
      </c>
      <c r="AW20" s="19" t="e">
        <f t="shared" si="138"/>
        <v>#DIV/0!</v>
      </c>
      <c r="AX20" s="19" t="e">
        <f t="shared" si="138"/>
        <v>#DIV/0!</v>
      </c>
      <c r="AY20" s="19" t="e">
        <f t="shared" si="138"/>
        <v>#DIV/0!</v>
      </c>
      <c r="AZ20" s="19" t="e">
        <f t="shared" si="138"/>
        <v>#DIV/0!</v>
      </c>
      <c r="BA20" s="19" t="e">
        <f t="shared" si="138"/>
        <v>#DIV/0!</v>
      </c>
      <c r="BB20" s="19" t="e">
        <f t="shared" si="138"/>
        <v>#DIV/0!</v>
      </c>
      <c r="BC20" s="19" t="e">
        <f t="shared" si="138"/>
        <v>#DIV/0!</v>
      </c>
      <c r="BD20" s="19" t="e">
        <f t="shared" si="138"/>
        <v>#DIV/0!</v>
      </c>
      <c r="BE20" s="19" t="e">
        <f t="shared" si="138"/>
        <v>#DIV/0!</v>
      </c>
      <c r="BF20" s="19" t="e">
        <f t="shared" si="138"/>
        <v>#DIV/0!</v>
      </c>
      <c r="BG20" s="19" t="e">
        <f t="shared" si="138"/>
        <v>#DIV/0!</v>
      </c>
      <c r="BH20" s="19" t="e">
        <f t="shared" si="138"/>
        <v>#DIV/0!</v>
      </c>
      <c r="BI20" s="19" t="e">
        <f t="shared" si="138"/>
        <v>#DIV/0!</v>
      </c>
      <c r="BJ20" s="19" t="e">
        <f t="shared" si="138"/>
        <v>#DIV/0!</v>
      </c>
      <c r="BK20" s="19" t="e">
        <f t="shared" si="138"/>
        <v>#DIV/0!</v>
      </c>
      <c r="BL20" s="19" t="e">
        <f t="shared" si="138"/>
        <v>#DIV/0!</v>
      </c>
      <c r="BM20" s="19" t="e">
        <f t="shared" si="138"/>
        <v>#DIV/0!</v>
      </c>
      <c r="BN20" s="19" t="e">
        <f t="shared" si="138"/>
        <v>#DIV/0!</v>
      </c>
      <c r="BO20" s="19" t="e">
        <f t="shared" si="138"/>
        <v>#DIV/0!</v>
      </c>
      <c r="BP20" s="19" t="e">
        <f t="shared" si="138"/>
        <v>#DIV/0!</v>
      </c>
      <c r="BQ20" s="19" t="e">
        <f t="shared" ref="BQ20:CW20" si="139">BQ18/BQ16</f>
        <v>#DIV/0!</v>
      </c>
      <c r="BR20" s="19" t="e">
        <f t="shared" si="139"/>
        <v>#DIV/0!</v>
      </c>
      <c r="BS20" s="19" t="e">
        <f t="shared" si="139"/>
        <v>#DIV/0!</v>
      </c>
      <c r="BT20" s="19" t="e">
        <f t="shared" si="139"/>
        <v>#DIV/0!</v>
      </c>
      <c r="BU20" s="19" t="e">
        <f t="shared" si="139"/>
        <v>#DIV/0!</v>
      </c>
      <c r="BV20" s="19" t="e">
        <f t="shared" si="139"/>
        <v>#DIV/0!</v>
      </c>
      <c r="BW20" s="19" t="e">
        <f t="shared" si="139"/>
        <v>#DIV/0!</v>
      </c>
      <c r="BX20" s="19" t="e">
        <f t="shared" si="139"/>
        <v>#DIV/0!</v>
      </c>
      <c r="BY20" s="19" t="e">
        <f t="shared" si="139"/>
        <v>#DIV/0!</v>
      </c>
      <c r="BZ20" s="19" t="e">
        <f t="shared" si="139"/>
        <v>#DIV/0!</v>
      </c>
      <c r="CA20" s="19" t="e">
        <f t="shared" si="139"/>
        <v>#DIV/0!</v>
      </c>
      <c r="CB20" s="19" t="e">
        <f t="shared" si="139"/>
        <v>#DIV/0!</v>
      </c>
      <c r="CC20" s="19" t="e">
        <f t="shared" si="139"/>
        <v>#DIV/0!</v>
      </c>
      <c r="CD20" s="19" t="e">
        <f t="shared" si="139"/>
        <v>#DIV/0!</v>
      </c>
      <c r="CE20" s="19" t="e">
        <f t="shared" si="139"/>
        <v>#DIV/0!</v>
      </c>
      <c r="CF20" s="19" t="e">
        <f t="shared" si="139"/>
        <v>#DIV/0!</v>
      </c>
      <c r="CG20" s="19" t="e">
        <f t="shared" si="139"/>
        <v>#DIV/0!</v>
      </c>
      <c r="CH20" s="19" t="e">
        <f t="shared" si="139"/>
        <v>#DIV/0!</v>
      </c>
      <c r="CI20" s="19" t="e">
        <f t="shared" si="139"/>
        <v>#DIV/0!</v>
      </c>
      <c r="CJ20" s="19" t="e">
        <f t="shared" si="139"/>
        <v>#DIV/0!</v>
      </c>
      <c r="CK20" s="19" t="e">
        <f t="shared" si="139"/>
        <v>#DIV/0!</v>
      </c>
      <c r="CL20" s="19" t="e">
        <f t="shared" si="139"/>
        <v>#DIV/0!</v>
      </c>
      <c r="CM20" s="19" t="e">
        <f t="shared" si="139"/>
        <v>#DIV/0!</v>
      </c>
      <c r="CN20" s="19" t="e">
        <f t="shared" si="139"/>
        <v>#DIV/0!</v>
      </c>
      <c r="CO20" s="19" t="e">
        <f t="shared" si="139"/>
        <v>#DIV/0!</v>
      </c>
      <c r="CP20" s="19" t="e">
        <f t="shared" si="139"/>
        <v>#DIV/0!</v>
      </c>
      <c r="CQ20" s="19" t="e">
        <f t="shared" si="139"/>
        <v>#DIV/0!</v>
      </c>
      <c r="CR20" s="19" t="e">
        <f t="shared" si="139"/>
        <v>#DIV/0!</v>
      </c>
      <c r="CS20" s="19" t="e">
        <f t="shared" si="139"/>
        <v>#DIV/0!</v>
      </c>
      <c r="CT20" s="19" t="e">
        <f t="shared" si="139"/>
        <v>#DIV/0!</v>
      </c>
      <c r="CU20" s="19" t="e">
        <f t="shared" si="139"/>
        <v>#DIV/0!</v>
      </c>
      <c r="CV20" s="19" t="e">
        <f t="shared" si="139"/>
        <v>#DIV/0!</v>
      </c>
      <c r="CW20" s="19" t="e">
        <f t="shared" si="139"/>
        <v>#DIV/0!</v>
      </c>
      <c r="CX20" s="19" t="e">
        <f t="shared" ref="CX20:CY20" si="140">CX18/CX16</f>
        <v>#DIV/0!</v>
      </c>
      <c r="CY20" s="19" t="e">
        <f t="shared" si="140"/>
        <v>#DIV/0!</v>
      </c>
      <c r="CZ20" s="19" t="e">
        <f t="shared" ref="CZ20:EX20" si="141">CZ18/CZ16</f>
        <v>#DIV/0!</v>
      </c>
      <c r="DA20" s="19" t="e">
        <f t="shared" si="141"/>
        <v>#DIV/0!</v>
      </c>
      <c r="DB20" s="19" t="e">
        <f t="shared" si="141"/>
        <v>#DIV/0!</v>
      </c>
      <c r="DC20" s="19" t="e">
        <f t="shared" si="141"/>
        <v>#DIV/0!</v>
      </c>
      <c r="DD20" s="19" t="e">
        <f t="shared" si="141"/>
        <v>#DIV/0!</v>
      </c>
      <c r="DE20" s="19" t="e">
        <f t="shared" si="141"/>
        <v>#DIV/0!</v>
      </c>
      <c r="DF20" s="19" t="e">
        <f t="shared" si="141"/>
        <v>#DIV/0!</v>
      </c>
      <c r="DG20" s="19" t="e">
        <f t="shared" si="141"/>
        <v>#DIV/0!</v>
      </c>
      <c r="DH20" s="19" t="e">
        <f t="shared" si="141"/>
        <v>#DIV/0!</v>
      </c>
      <c r="DI20" s="19" t="e">
        <f t="shared" si="141"/>
        <v>#DIV/0!</v>
      </c>
      <c r="DJ20" s="19" t="e">
        <f t="shared" si="141"/>
        <v>#DIV/0!</v>
      </c>
      <c r="DK20" s="19" t="e">
        <f t="shared" si="141"/>
        <v>#DIV/0!</v>
      </c>
      <c r="DL20" s="19" t="e">
        <f t="shared" si="141"/>
        <v>#DIV/0!</v>
      </c>
      <c r="DM20" s="19" t="e">
        <f t="shared" si="141"/>
        <v>#DIV/0!</v>
      </c>
      <c r="DN20" s="19" t="e">
        <f t="shared" si="141"/>
        <v>#DIV/0!</v>
      </c>
      <c r="DO20" s="19" t="e">
        <f t="shared" si="141"/>
        <v>#DIV/0!</v>
      </c>
      <c r="DP20" s="19" t="e">
        <f t="shared" si="141"/>
        <v>#DIV/0!</v>
      </c>
      <c r="DQ20" s="19" t="e">
        <f t="shared" si="141"/>
        <v>#DIV/0!</v>
      </c>
      <c r="DR20" s="19" t="e">
        <f t="shared" si="141"/>
        <v>#DIV/0!</v>
      </c>
      <c r="DS20" s="19" t="e">
        <f t="shared" si="141"/>
        <v>#DIV/0!</v>
      </c>
      <c r="DT20" s="19" t="e">
        <f t="shared" si="141"/>
        <v>#DIV/0!</v>
      </c>
      <c r="DU20" s="19" t="e">
        <f t="shared" si="141"/>
        <v>#DIV/0!</v>
      </c>
      <c r="DV20" s="19" t="e">
        <f t="shared" si="141"/>
        <v>#DIV/0!</v>
      </c>
      <c r="DW20" s="19" t="e">
        <f t="shared" si="141"/>
        <v>#DIV/0!</v>
      </c>
      <c r="DX20" s="19" t="e">
        <f t="shared" si="141"/>
        <v>#DIV/0!</v>
      </c>
      <c r="DY20" s="19" t="e">
        <f t="shared" si="141"/>
        <v>#DIV/0!</v>
      </c>
      <c r="DZ20" s="19" t="e">
        <f t="shared" si="141"/>
        <v>#DIV/0!</v>
      </c>
      <c r="EA20" s="19" t="e">
        <f t="shared" si="141"/>
        <v>#DIV/0!</v>
      </c>
      <c r="EB20" s="19" t="e">
        <f t="shared" si="141"/>
        <v>#DIV/0!</v>
      </c>
      <c r="EC20" s="19" t="e">
        <f t="shared" si="141"/>
        <v>#DIV/0!</v>
      </c>
      <c r="ED20" s="19" t="e">
        <f t="shared" si="141"/>
        <v>#DIV/0!</v>
      </c>
      <c r="EE20" s="19" t="e">
        <f t="shared" si="141"/>
        <v>#DIV/0!</v>
      </c>
      <c r="EF20" s="19" t="e">
        <f t="shared" si="141"/>
        <v>#DIV/0!</v>
      </c>
      <c r="EG20" s="19" t="e">
        <f t="shared" si="141"/>
        <v>#DIV/0!</v>
      </c>
      <c r="EH20" s="19" t="e">
        <f t="shared" si="141"/>
        <v>#DIV/0!</v>
      </c>
      <c r="EI20" s="19" t="e">
        <f t="shared" si="141"/>
        <v>#DIV/0!</v>
      </c>
      <c r="EJ20" s="19" t="e">
        <f t="shared" si="141"/>
        <v>#DIV/0!</v>
      </c>
      <c r="EK20" s="19" t="e">
        <f t="shared" si="141"/>
        <v>#DIV/0!</v>
      </c>
      <c r="EL20" s="19" t="e">
        <f t="shared" si="141"/>
        <v>#DIV/0!</v>
      </c>
      <c r="EM20" s="19" t="e">
        <f t="shared" si="141"/>
        <v>#DIV/0!</v>
      </c>
      <c r="EN20" s="19" t="e">
        <f t="shared" si="141"/>
        <v>#DIV/0!</v>
      </c>
      <c r="EO20" s="19" t="e">
        <f t="shared" si="141"/>
        <v>#DIV/0!</v>
      </c>
      <c r="EP20" s="19" t="e">
        <f t="shared" si="141"/>
        <v>#DIV/0!</v>
      </c>
      <c r="EQ20" s="19" t="e">
        <f t="shared" si="141"/>
        <v>#DIV/0!</v>
      </c>
      <c r="ER20" s="19" t="e">
        <f t="shared" si="141"/>
        <v>#DIV/0!</v>
      </c>
      <c r="ES20" s="19" t="e">
        <f t="shared" si="141"/>
        <v>#DIV/0!</v>
      </c>
      <c r="ET20" s="19" t="e">
        <f t="shared" si="141"/>
        <v>#DIV/0!</v>
      </c>
      <c r="EU20" s="19" t="e">
        <f t="shared" si="141"/>
        <v>#DIV/0!</v>
      </c>
      <c r="EV20" s="19" t="e">
        <f t="shared" si="141"/>
        <v>#DIV/0!</v>
      </c>
      <c r="EW20" s="19" t="e">
        <f t="shared" si="141"/>
        <v>#DIV/0!</v>
      </c>
      <c r="EX20" s="19" t="e">
        <f t="shared" si="141"/>
        <v>#DIV/0!</v>
      </c>
      <c r="EY20" s="19" t="e">
        <f t="shared" ref="EY20" si="142">EY18/EY16</f>
        <v>#DIV/0!</v>
      </c>
    </row>
    <row r="21" spans="1:155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143">F18/F17</f>
        <v>#DIV/0!</v>
      </c>
      <c r="G21" s="20" t="e">
        <f t="shared" si="143"/>
        <v>#DIV/0!</v>
      </c>
      <c r="H21" s="20" t="e">
        <f t="shared" si="143"/>
        <v>#DIV/0!</v>
      </c>
      <c r="I21" s="20" t="e">
        <f t="shared" si="143"/>
        <v>#DIV/0!</v>
      </c>
      <c r="J21" s="20" t="e">
        <f t="shared" si="143"/>
        <v>#DIV/0!</v>
      </c>
      <c r="K21" s="20" t="e">
        <f t="shared" si="143"/>
        <v>#DIV/0!</v>
      </c>
      <c r="L21" s="20" t="e">
        <f t="shared" si="143"/>
        <v>#DIV/0!</v>
      </c>
      <c r="M21" s="20" t="e">
        <f t="shared" si="143"/>
        <v>#DIV/0!</v>
      </c>
      <c r="N21" s="20" t="e">
        <f t="shared" si="143"/>
        <v>#DIV/0!</v>
      </c>
      <c r="O21" s="20" t="e">
        <f t="shared" si="143"/>
        <v>#DIV/0!</v>
      </c>
      <c r="P21" s="20" t="e">
        <f t="shared" si="143"/>
        <v>#DIV/0!</v>
      </c>
      <c r="Q21" s="20" t="e">
        <f t="shared" si="143"/>
        <v>#DIV/0!</v>
      </c>
      <c r="R21" s="20" t="e">
        <f t="shared" si="143"/>
        <v>#DIV/0!</v>
      </c>
      <c r="S21" s="20" t="e">
        <f t="shared" si="143"/>
        <v>#DIV/0!</v>
      </c>
      <c r="T21" s="20" t="e">
        <f t="shared" si="143"/>
        <v>#DIV/0!</v>
      </c>
      <c r="U21" s="20" t="e">
        <f t="shared" si="143"/>
        <v>#DIV/0!</v>
      </c>
      <c r="V21" s="20" t="e">
        <f t="shared" si="143"/>
        <v>#DIV/0!</v>
      </c>
      <c r="W21" s="20" t="e">
        <f t="shared" si="143"/>
        <v>#DIV/0!</v>
      </c>
      <c r="X21" s="20" t="e">
        <f t="shared" si="143"/>
        <v>#DIV/0!</v>
      </c>
      <c r="Y21" s="20" t="e">
        <f t="shared" si="143"/>
        <v>#DIV/0!</v>
      </c>
      <c r="Z21" s="20" t="e">
        <f t="shared" si="143"/>
        <v>#DIV/0!</v>
      </c>
      <c r="AA21" s="20" t="e">
        <f t="shared" si="143"/>
        <v>#DIV/0!</v>
      </c>
      <c r="AB21" s="20" t="e">
        <f>AB19/AB17</f>
        <v>#DIV/0!</v>
      </c>
      <c r="AC21" s="20" t="e">
        <f t="shared" ref="AC21:AL21" si="144">AC19/AC17</f>
        <v>#DIV/0!</v>
      </c>
      <c r="AD21" s="20" t="e">
        <f t="shared" si="144"/>
        <v>#DIV/0!</v>
      </c>
      <c r="AE21" s="20" t="e">
        <f t="shared" si="144"/>
        <v>#DIV/0!</v>
      </c>
      <c r="AF21" s="20" t="e">
        <f t="shared" si="144"/>
        <v>#DIV/0!</v>
      </c>
      <c r="AG21" s="20" t="e">
        <f t="shared" si="144"/>
        <v>#DIV/0!</v>
      </c>
      <c r="AH21" s="20" t="e">
        <f t="shared" si="144"/>
        <v>#DIV/0!</v>
      </c>
      <c r="AI21" s="20" t="e">
        <f t="shared" si="144"/>
        <v>#DIV/0!</v>
      </c>
      <c r="AJ21" s="20" t="e">
        <f t="shared" si="144"/>
        <v>#DIV/0!</v>
      </c>
      <c r="AK21" s="20" t="e">
        <f t="shared" si="144"/>
        <v>#DIV/0!</v>
      </c>
      <c r="AL21" s="20" t="e">
        <f t="shared" si="144"/>
        <v>#DIV/0!</v>
      </c>
      <c r="AM21" s="20" t="e">
        <f>AM19/AM17</f>
        <v>#DIV/0!</v>
      </c>
      <c r="AN21" s="20" t="e">
        <f t="shared" ref="AN21:AR21" si="145">AN19/AN17</f>
        <v>#DIV/0!</v>
      </c>
      <c r="AO21" s="20" t="e">
        <f t="shared" si="145"/>
        <v>#DIV/0!</v>
      </c>
      <c r="AP21" s="20" t="e">
        <f t="shared" si="145"/>
        <v>#DIV/0!</v>
      </c>
      <c r="AQ21" s="20" t="e">
        <f t="shared" si="145"/>
        <v>#DIV/0!</v>
      </c>
      <c r="AR21" s="20" t="e">
        <f t="shared" si="145"/>
        <v>#DIV/0!</v>
      </c>
      <c r="AS21" s="20" t="e">
        <f t="shared" ref="AS21:CW21" si="146">AS18/AS17</f>
        <v>#DIV/0!</v>
      </c>
      <c r="AT21" s="20" t="e">
        <f t="shared" si="146"/>
        <v>#DIV/0!</v>
      </c>
      <c r="AU21" s="20" t="e">
        <f t="shared" si="146"/>
        <v>#DIV/0!</v>
      </c>
      <c r="AV21" s="20" t="e">
        <f t="shared" si="146"/>
        <v>#DIV/0!</v>
      </c>
      <c r="AW21" s="20" t="e">
        <f t="shared" si="146"/>
        <v>#DIV/0!</v>
      </c>
      <c r="AX21" s="20" t="e">
        <f t="shared" si="146"/>
        <v>#DIV/0!</v>
      </c>
      <c r="AY21" s="20" t="e">
        <f t="shared" si="146"/>
        <v>#DIV/0!</v>
      </c>
      <c r="AZ21" s="20" t="e">
        <f t="shared" si="146"/>
        <v>#DIV/0!</v>
      </c>
      <c r="BA21" s="20" t="e">
        <f t="shared" si="146"/>
        <v>#DIV/0!</v>
      </c>
      <c r="BB21" s="20" t="e">
        <f t="shared" si="146"/>
        <v>#DIV/0!</v>
      </c>
      <c r="BC21" s="20" t="e">
        <f t="shared" si="146"/>
        <v>#DIV/0!</v>
      </c>
      <c r="BD21" s="20" t="e">
        <f t="shared" si="146"/>
        <v>#DIV/0!</v>
      </c>
      <c r="BE21" s="20" t="e">
        <f t="shared" si="146"/>
        <v>#DIV/0!</v>
      </c>
      <c r="BF21" s="20" t="e">
        <f t="shared" si="146"/>
        <v>#DIV/0!</v>
      </c>
      <c r="BG21" s="20" t="e">
        <f t="shared" si="146"/>
        <v>#DIV/0!</v>
      </c>
      <c r="BH21" s="20" t="e">
        <f t="shared" si="146"/>
        <v>#DIV/0!</v>
      </c>
      <c r="BI21" s="20" t="e">
        <f t="shared" si="146"/>
        <v>#DIV/0!</v>
      </c>
      <c r="BJ21" s="20" t="e">
        <f t="shared" si="146"/>
        <v>#DIV/0!</v>
      </c>
      <c r="BK21" s="20" t="e">
        <f t="shared" si="146"/>
        <v>#DIV/0!</v>
      </c>
      <c r="BL21" s="20" t="e">
        <f t="shared" si="146"/>
        <v>#DIV/0!</v>
      </c>
      <c r="BM21" s="20" t="e">
        <f t="shared" si="146"/>
        <v>#DIV/0!</v>
      </c>
      <c r="BN21" s="20" t="e">
        <f t="shared" si="146"/>
        <v>#DIV/0!</v>
      </c>
      <c r="BO21" s="20" t="e">
        <f t="shared" si="146"/>
        <v>#DIV/0!</v>
      </c>
      <c r="BP21" s="20" t="e">
        <f t="shared" si="146"/>
        <v>#DIV/0!</v>
      </c>
      <c r="BQ21" s="20" t="e">
        <f t="shared" si="146"/>
        <v>#DIV/0!</v>
      </c>
      <c r="BR21" s="20" t="e">
        <f t="shared" si="146"/>
        <v>#DIV/0!</v>
      </c>
      <c r="BS21" s="20" t="e">
        <f t="shared" si="146"/>
        <v>#DIV/0!</v>
      </c>
      <c r="BT21" s="20" t="e">
        <f t="shared" si="146"/>
        <v>#DIV/0!</v>
      </c>
      <c r="BU21" s="20" t="e">
        <f t="shared" si="146"/>
        <v>#DIV/0!</v>
      </c>
      <c r="BV21" s="20" t="e">
        <f t="shared" si="146"/>
        <v>#DIV/0!</v>
      </c>
      <c r="BW21" s="20" t="e">
        <f t="shared" si="146"/>
        <v>#DIV/0!</v>
      </c>
      <c r="BX21" s="20" t="e">
        <f t="shared" si="146"/>
        <v>#DIV/0!</v>
      </c>
      <c r="BY21" s="20" t="e">
        <f t="shared" si="146"/>
        <v>#DIV/0!</v>
      </c>
      <c r="BZ21" s="20" t="e">
        <f t="shared" si="146"/>
        <v>#DIV/0!</v>
      </c>
      <c r="CA21" s="20" t="e">
        <f t="shared" si="146"/>
        <v>#DIV/0!</v>
      </c>
      <c r="CB21" s="20" t="e">
        <f t="shared" si="146"/>
        <v>#DIV/0!</v>
      </c>
      <c r="CC21" s="20" t="e">
        <f t="shared" si="146"/>
        <v>#DIV/0!</v>
      </c>
      <c r="CD21" s="20" t="e">
        <f t="shared" si="146"/>
        <v>#DIV/0!</v>
      </c>
      <c r="CE21" s="20" t="e">
        <f t="shared" si="146"/>
        <v>#DIV/0!</v>
      </c>
      <c r="CF21" s="20" t="e">
        <f t="shared" si="146"/>
        <v>#DIV/0!</v>
      </c>
      <c r="CG21" s="20">
        <f t="shared" si="146"/>
        <v>0.53846153846153844</v>
      </c>
      <c r="CH21" s="20">
        <f t="shared" si="146"/>
        <v>0.86153846153846148</v>
      </c>
      <c r="CI21" s="20">
        <f t="shared" si="146"/>
        <v>1.0434782608695652</v>
      </c>
      <c r="CJ21" s="20">
        <f t="shared" si="146"/>
        <v>0.95652173913043481</v>
      </c>
      <c r="CK21" s="20">
        <f t="shared" si="146"/>
        <v>0.91304347826086951</v>
      </c>
      <c r="CL21" s="20">
        <f t="shared" si="146"/>
        <v>0.91304347826086951</v>
      </c>
      <c r="CM21" s="20">
        <f t="shared" si="146"/>
        <v>0.91304347826086951</v>
      </c>
      <c r="CN21" s="20">
        <f t="shared" si="146"/>
        <v>0.82608695652173914</v>
      </c>
      <c r="CO21" s="20">
        <f t="shared" si="146"/>
        <v>1.1304347826086956</v>
      </c>
      <c r="CP21" s="20">
        <f t="shared" si="146"/>
        <v>1.1304347826086956</v>
      </c>
      <c r="CQ21" s="20">
        <f t="shared" si="146"/>
        <v>1.0869565217391304</v>
      </c>
      <c r="CR21" s="20">
        <f t="shared" si="146"/>
        <v>1.0869565217391304</v>
      </c>
      <c r="CS21" s="20">
        <f t="shared" si="146"/>
        <v>1</v>
      </c>
      <c r="CT21" s="20">
        <f t="shared" si="146"/>
        <v>1</v>
      </c>
      <c r="CU21" s="20">
        <f t="shared" si="146"/>
        <v>0.91304347826086951</v>
      </c>
      <c r="CV21" s="20">
        <f t="shared" si="146"/>
        <v>0.91304347826086951</v>
      </c>
      <c r="CW21" s="20">
        <f t="shared" si="146"/>
        <v>1.1304347826086956</v>
      </c>
      <c r="CX21" s="20">
        <f t="shared" ref="CX21:CY21" si="147">CX18/CX17</f>
        <v>1.0869565217391304</v>
      </c>
      <c r="CY21" s="20">
        <f t="shared" si="147"/>
        <v>1.0434782608695652</v>
      </c>
      <c r="CZ21" s="20">
        <f t="shared" ref="CZ21:EX21" si="148">CZ18/CZ17</f>
        <v>0.95652173913043481</v>
      </c>
      <c r="DA21" s="20">
        <f t="shared" si="148"/>
        <v>0.95652173913043481</v>
      </c>
      <c r="DB21" s="20">
        <f t="shared" si="148"/>
        <v>0.95652173913043481</v>
      </c>
      <c r="DC21" s="20">
        <f t="shared" si="148"/>
        <v>0.95652173913043481</v>
      </c>
      <c r="DD21" s="20">
        <f t="shared" si="148"/>
        <v>0.95652173913043481</v>
      </c>
      <c r="DE21" s="20">
        <f t="shared" si="148"/>
        <v>1.3478260869565217</v>
      </c>
      <c r="DF21" s="20">
        <f t="shared" si="148"/>
        <v>1.3478260869565217</v>
      </c>
      <c r="DG21" s="20">
        <f t="shared" si="148"/>
        <v>1.3478260869565217</v>
      </c>
      <c r="DH21" s="20">
        <f t="shared" si="148"/>
        <v>1.2608695652173914</v>
      </c>
      <c r="DI21" s="20">
        <f t="shared" si="148"/>
        <v>1.2608695652173914</v>
      </c>
      <c r="DJ21" s="20">
        <f t="shared" si="148"/>
        <v>1.2173913043478262</v>
      </c>
      <c r="DK21" s="20">
        <f t="shared" si="148"/>
        <v>1.2173913043478262</v>
      </c>
      <c r="DL21" s="20">
        <f t="shared" si="148"/>
        <v>1.173913043478261</v>
      </c>
      <c r="DM21" s="20">
        <f t="shared" si="148"/>
        <v>1.159</v>
      </c>
      <c r="DN21" s="20">
        <f t="shared" si="148"/>
        <v>1.175</v>
      </c>
      <c r="DO21" s="20">
        <f t="shared" si="148"/>
        <v>1.1780000000000002</v>
      </c>
      <c r="DP21" s="20">
        <f t="shared" si="148"/>
        <v>1.19</v>
      </c>
      <c r="DQ21" s="20">
        <f t="shared" si="148"/>
        <v>1.1540000000000001</v>
      </c>
      <c r="DR21" s="20">
        <f t="shared" si="148"/>
        <v>1.1540000000000001</v>
      </c>
      <c r="DS21" s="20">
        <f t="shared" si="148"/>
        <v>1.19</v>
      </c>
      <c r="DT21" s="20">
        <f t="shared" si="148"/>
        <v>1.2250000000000001</v>
      </c>
      <c r="DU21" s="20">
        <f t="shared" si="148"/>
        <v>1.2250000000000001</v>
      </c>
      <c r="DV21" s="20">
        <f t="shared" si="148"/>
        <v>1.2250000000000001</v>
      </c>
      <c r="DW21" s="20">
        <f t="shared" si="148"/>
        <v>1.2230000000000001</v>
      </c>
      <c r="DX21" s="20">
        <f t="shared" si="148"/>
        <v>1.2230000000000001</v>
      </c>
      <c r="DY21" s="20">
        <f t="shared" si="148"/>
        <v>1.1870000000000001</v>
      </c>
      <c r="DZ21" s="20">
        <f t="shared" si="148"/>
        <v>1.1597</v>
      </c>
      <c r="EA21" s="20">
        <f t="shared" si="148"/>
        <v>1.1597</v>
      </c>
      <c r="EB21" s="20">
        <f t="shared" si="148"/>
        <v>1.1597</v>
      </c>
      <c r="EC21" s="20">
        <f t="shared" si="148"/>
        <v>1.1597</v>
      </c>
      <c r="ED21" s="20">
        <f t="shared" si="148"/>
        <v>1.1597</v>
      </c>
      <c r="EE21" s="20">
        <f t="shared" si="148"/>
        <v>1.1597</v>
      </c>
      <c r="EF21" s="20">
        <f t="shared" si="148"/>
        <v>1.1597</v>
      </c>
      <c r="EG21" s="20">
        <f t="shared" si="148"/>
        <v>1.1597</v>
      </c>
      <c r="EH21" s="20">
        <f t="shared" si="148"/>
        <v>1.1597</v>
      </c>
      <c r="EI21" s="20">
        <f t="shared" si="148"/>
        <v>1.1597</v>
      </c>
      <c r="EJ21" s="20">
        <f t="shared" si="148"/>
        <v>1.1597</v>
      </c>
      <c r="EK21" s="20">
        <f t="shared" si="148"/>
        <v>1.1597</v>
      </c>
      <c r="EL21" s="20">
        <f t="shared" si="148"/>
        <v>1.1597</v>
      </c>
      <c r="EM21" s="20">
        <f t="shared" si="148"/>
        <v>1.1597</v>
      </c>
      <c r="EN21" s="20">
        <f t="shared" si="148"/>
        <v>1.1597</v>
      </c>
      <c r="EO21" s="20">
        <f t="shared" si="148"/>
        <v>1.1597</v>
      </c>
      <c r="EP21" s="20">
        <f t="shared" si="148"/>
        <v>1.1597</v>
      </c>
      <c r="EQ21" s="20">
        <f t="shared" si="148"/>
        <v>1.1597</v>
      </c>
      <c r="ER21" s="20">
        <f t="shared" si="148"/>
        <v>1.1597</v>
      </c>
      <c r="ES21" s="20">
        <f t="shared" si="148"/>
        <v>1.1597</v>
      </c>
      <c r="ET21" s="20">
        <f t="shared" si="148"/>
        <v>1.1597</v>
      </c>
      <c r="EU21" s="20">
        <f t="shared" si="148"/>
        <v>1.0232967411932368</v>
      </c>
      <c r="EV21" s="20">
        <f t="shared" si="148"/>
        <v>0.97981848032367158</v>
      </c>
      <c r="EW21" s="20">
        <f t="shared" si="148"/>
        <v>0.97981848032367158</v>
      </c>
      <c r="EX21" s="20">
        <f t="shared" si="148"/>
        <v>0.93634021945410639</v>
      </c>
      <c r="EY21" s="20">
        <f t="shared" ref="EY21" si="149">EY18/EY17</f>
        <v>0.93634021945410639</v>
      </c>
    </row>
    <row r="23" spans="1:155" x14ac:dyDescent="0.3">
      <c r="A23" s="36" t="s">
        <v>40</v>
      </c>
      <c r="B23" s="36" t="s">
        <v>41</v>
      </c>
      <c r="C23" s="37" t="s">
        <v>2</v>
      </c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>
        <v>14.5</v>
      </c>
      <c r="DF24" s="21">
        <v>14.5</v>
      </c>
      <c r="DG24" s="21">
        <v>14.5</v>
      </c>
      <c r="DH24" s="21">
        <v>14.5</v>
      </c>
      <c r="DI24" s="21">
        <v>14.5</v>
      </c>
      <c r="DJ24" s="21">
        <v>14.5</v>
      </c>
      <c r="DK24" s="21">
        <v>14.5</v>
      </c>
      <c r="DL24" s="21">
        <v>14.5</v>
      </c>
      <c r="DM24" s="21">
        <v>14.5</v>
      </c>
      <c r="DN24" s="21">
        <v>14.5</v>
      </c>
      <c r="DO24" s="21">
        <v>14.5</v>
      </c>
      <c r="DP24" s="21">
        <v>14.5</v>
      </c>
      <c r="DQ24" s="21">
        <v>14.5</v>
      </c>
      <c r="DR24" s="21">
        <v>14.5</v>
      </c>
      <c r="DS24" s="21">
        <v>14.5</v>
      </c>
      <c r="DT24" s="21">
        <v>14.5</v>
      </c>
      <c r="DU24" s="21">
        <v>14.5</v>
      </c>
      <c r="DV24" s="21">
        <v>14.5</v>
      </c>
      <c r="DW24" s="21">
        <v>14.5</v>
      </c>
      <c r="DX24" s="21">
        <v>14.5</v>
      </c>
      <c r="DY24" s="21">
        <v>14.5</v>
      </c>
      <c r="DZ24" s="21">
        <v>14.5</v>
      </c>
      <c r="EA24" s="21">
        <v>14.5</v>
      </c>
      <c r="EB24" s="21">
        <v>14.5</v>
      </c>
      <c r="EC24" s="21">
        <v>14.5</v>
      </c>
      <c r="ED24" s="21">
        <v>14.5</v>
      </c>
      <c r="EE24" s="21">
        <v>14.5</v>
      </c>
      <c r="EF24" s="21">
        <v>14.5</v>
      </c>
      <c r="EG24" s="21">
        <v>14.5</v>
      </c>
      <c r="EH24" s="21">
        <v>14.5</v>
      </c>
      <c r="EI24" s="21">
        <v>14.5</v>
      </c>
      <c r="EJ24" s="21">
        <v>14.5</v>
      </c>
      <c r="EK24" s="21">
        <v>14.5</v>
      </c>
      <c r="EL24" s="21">
        <v>14.5</v>
      </c>
      <c r="EM24" s="21">
        <v>14.5</v>
      </c>
      <c r="EN24" s="21">
        <v>14.5</v>
      </c>
      <c r="EO24" s="21">
        <v>14.5</v>
      </c>
      <c r="EP24" s="21">
        <v>14.5</v>
      </c>
      <c r="EQ24" s="21">
        <v>14.5</v>
      </c>
      <c r="ER24" s="21">
        <v>14.5</v>
      </c>
      <c r="ES24" s="21">
        <v>14.5</v>
      </c>
      <c r="ET24" s="21">
        <v>14.5</v>
      </c>
      <c r="EU24" s="17"/>
      <c r="EV24" s="17"/>
      <c r="EW24" s="17"/>
      <c r="EX24" s="17"/>
      <c r="EY24" s="17"/>
    </row>
    <row r="25" spans="1:155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>
        <v>15</v>
      </c>
      <c r="DF25" s="22">
        <v>14</v>
      </c>
      <c r="DG25" s="22">
        <v>15</v>
      </c>
      <c r="DH25" s="22">
        <v>13</v>
      </c>
      <c r="DI25" s="22">
        <v>13</v>
      </c>
      <c r="DJ25" s="22">
        <v>12</v>
      </c>
      <c r="DK25" s="22">
        <v>11</v>
      </c>
      <c r="DL25" s="22">
        <v>17</v>
      </c>
      <c r="DM25" s="22">
        <v>17</v>
      </c>
      <c r="DN25" s="22">
        <v>17</v>
      </c>
      <c r="DO25" s="22">
        <v>17</v>
      </c>
      <c r="DP25" s="22">
        <v>17</v>
      </c>
      <c r="DQ25" s="22">
        <v>17</v>
      </c>
      <c r="DR25" s="22">
        <v>17</v>
      </c>
      <c r="DS25" s="22">
        <v>17</v>
      </c>
      <c r="DT25" s="22">
        <v>17</v>
      </c>
      <c r="DU25" s="22">
        <v>17</v>
      </c>
      <c r="DV25" s="22">
        <v>17</v>
      </c>
      <c r="DW25" s="22">
        <v>17</v>
      </c>
      <c r="DX25" s="22">
        <v>15</v>
      </c>
      <c r="DY25" s="22">
        <v>16</v>
      </c>
      <c r="DZ25" s="22">
        <v>16</v>
      </c>
      <c r="EA25" s="22">
        <v>14</v>
      </c>
      <c r="EB25" s="22">
        <v>14</v>
      </c>
      <c r="EC25" s="22">
        <v>18</v>
      </c>
      <c r="ED25" s="22">
        <v>18</v>
      </c>
      <c r="EE25" s="22">
        <v>18</v>
      </c>
      <c r="EF25" s="22">
        <v>18</v>
      </c>
      <c r="EG25" s="22">
        <v>18</v>
      </c>
      <c r="EH25" s="22">
        <v>18</v>
      </c>
      <c r="EI25" s="22">
        <v>18</v>
      </c>
      <c r="EJ25" s="22">
        <v>18</v>
      </c>
      <c r="EK25" s="22">
        <v>17</v>
      </c>
      <c r="EL25" s="22">
        <v>17</v>
      </c>
      <c r="EM25" s="22">
        <v>17</v>
      </c>
      <c r="EN25" s="22">
        <v>17</v>
      </c>
      <c r="EO25" s="22">
        <v>16</v>
      </c>
      <c r="EP25" s="22">
        <v>16</v>
      </c>
      <c r="EQ25" s="22">
        <v>16</v>
      </c>
      <c r="ER25" s="22">
        <v>16</v>
      </c>
      <c r="ES25" s="22">
        <v>15</v>
      </c>
      <c r="ET25" s="22">
        <v>17.928893229166665</v>
      </c>
      <c r="EU25" s="22"/>
      <c r="EV25" s="22"/>
      <c r="EW25" s="22"/>
      <c r="EX25" s="22"/>
      <c r="EY25" s="22"/>
    </row>
    <row r="26" spans="1:155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S26" si="150">DE25</f>
        <v>15</v>
      </c>
      <c r="DF26" s="22">
        <f t="shared" si="150"/>
        <v>14</v>
      </c>
      <c r="DG26" s="22">
        <f t="shared" si="150"/>
        <v>15</v>
      </c>
      <c r="DH26" s="22">
        <f t="shared" si="150"/>
        <v>13</v>
      </c>
      <c r="DI26" s="22">
        <f t="shared" si="150"/>
        <v>13</v>
      </c>
      <c r="DJ26" s="22">
        <f t="shared" si="150"/>
        <v>12</v>
      </c>
      <c r="DK26" s="22">
        <f t="shared" si="150"/>
        <v>11</v>
      </c>
      <c r="DL26" s="22">
        <f t="shared" si="150"/>
        <v>17</v>
      </c>
      <c r="DM26" s="22">
        <f t="shared" si="150"/>
        <v>17</v>
      </c>
      <c r="DN26" s="22">
        <f t="shared" si="150"/>
        <v>17</v>
      </c>
      <c r="DO26" s="22">
        <f t="shared" si="150"/>
        <v>17</v>
      </c>
      <c r="DP26" s="22">
        <f t="shared" si="150"/>
        <v>17</v>
      </c>
      <c r="DQ26" s="22">
        <f t="shared" si="150"/>
        <v>17</v>
      </c>
      <c r="DR26" s="22">
        <f t="shared" si="150"/>
        <v>17</v>
      </c>
      <c r="DS26" s="22">
        <f t="shared" si="150"/>
        <v>17</v>
      </c>
      <c r="DT26" s="22">
        <f t="shared" si="150"/>
        <v>17</v>
      </c>
      <c r="DU26" s="22">
        <f t="shared" si="150"/>
        <v>17</v>
      </c>
      <c r="DV26" s="22">
        <f t="shared" si="150"/>
        <v>17</v>
      </c>
      <c r="DW26" s="22">
        <f t="shared" si="150"/>
        <v>17</v>
      </c>
      <c r="DX26" s="22">
        <f t="shared" si="150"/>
        <v>15</v>
      </c>
      <c r="DY26" s="22">
        <f t="shared" si="150"/>
        <v>16</v>
      </c>
      <c r="DZ26" s="22">
        <f t="shared" si="150"/>
        <v>16</v>
      </c>
      <c r="EA26" s="22">
        <f t="shared" si="150"/>
        <v>14</v>
      </c>
      <c r="EB26" s="22">
        <f t="shared" si="150"/>
        <v>14</v>
      </c>
      <c r="EC26" s="22">
        <f t="shared" si="150"/>
        <v>18</v>
      </c>
      <c r="ED26" s="22">
        <f t="shared" si="150"/>
        <v>18</v>
      </c>
      <c r="EE26" s="22">
        <f t="shared" si="150"/>
        <v>18</v>
      </c>
      <c r="EF26" s="22">
        <f t="shared" si="150"/>
        <v>18</v>
      </c>
      <c r="EG26" s="22">
        <f t="shared" si="150"/>
        <v>18</v>
      </c>
      <c r="EH26" s="22">
        <f t="shared" si="150"/>
        <v>18</v>
      </c>
      <c r="EI26" s="22">
        <f t="shared" si="150"/>
        <v>18</v>
      </c>
      <c r="EJ26" s="22">
        <f t="shared" si="150"/>
        <v>18</v>
      </c>
      <c r="EK26" s="22">
        <f t="shared" si="150"/>
        <v>17</v>
      </c>
      <c r="EL26" s="22">
        <f t="shared" si="150"/>
        <v>17</v>
      </c>
      <c r="EM26" s="22">
        <f t="shared" si="150"/>
        <v>17</v>
      </c>
      <c r="EN26" s="22">
        <f t="shared" si="150"/>
        <v>17</v>
      </c>
      <c r="EO26" s="22">
        <f t="shared" si="150"/>
        <v>16</v>
      </c>
      <c r="EP26" s="22">
        <f t="shared" si="150"/>
        <v>16</v>
      </c>
      <c r="EQ26" s="22">
        <f t="shared" si="150"/>
        <v>16</v>
      </c>
      <c r="ER26" s="22">
        <f t="shared" si="150"/>
        <v>16</v>
      </c>
      <c r="ES26" s="22">
        <f t="shared" si="150"/>
        <v>15</v>
      </c>
      <c r="ET26" s="22">
        <f t="shared" ref="ET26:EY26" si="151">ET25</f>
        <v>17.928893229166665</v>
      </c>
      <c r="EU26" s="22">
        <f t="shared" si="151"/>
        <v>0</v>
      </c>
      <c r="EV26" s="22">
        <f t="shared" si="151"/>
        <v>0</v>
      </c>
      <c r="EW26" s="22">
        <f t="shared" si="151"/>
        <v>0</v>
      </c>
      <c r="EX26" s="22">
        <f t="shared" si="151"/>
        <v>0</v>
      </c>
      <c r="EY26" s="22">
        <f t="shared" si="151"/>
        <v>0</v>
      </c>
    </row>
    <row r="27" spans="1:155" x14ac:dyDescent="0.3">
      <c r="A27" s="36"/>
      <c r="B27" s="36"/>
      <c r="C27" s="38"/>
      <c r="D27" s="15" t="s">
        <v>16</v>
      </c>
      <c r="E27" s="19" t="e">
        <f t="shared" ref="E27:BP27" si="152">E25/E23</f>
        <v>#DIV/0!</v>
      </c>
      <c r="F27" s="19" t="e">
        <f t="shared" si="152"/>
        <v>#DIV/0!</v>
      </c>
      <c r="G27" s="19" t="e">
        <f t="shared" si="152"/>
        <v>#DIV/0!</v>
      </c>
      <c r="H27" s="19" t="e">
        <f t="shared" si="152"/>
        <v>#DIV/0!</v>
      </c>
      <c r="I27" s="19" t="e">
        <f t="shared" si="152"/>
        <v>#DIV/0!</v>
      </c>
      <c r="J27" s="19" t="e">
        <f t="shared" si="152"/>
        <v>#DIV/0!</v>
      </c>
      <c r="K27" s="19" t="e">
        <f t="shared" si="152"/>
        <v>#DIV/0!</v>
      </c>
      <c r="L27" s="19" t="e">
        <f t="shared" si="152"/>
        <v>#DIV/0!</v>
      </c>
      <c r="M27" s="19" t="e">
        <f t="shared" si="152"/>
        <v>#DIV/0!</v>
      </c>
      <c r="N27" s="19" t="e">
        <f t="shared" si="152"/>
        <v>#DIV/0!</v>
      </c>
      <c r="O27" s="19" t="e">
        <f t="shared" si="152"/>
        <v>#DIV/0!</v>
      </c>
      <c r="P27" s="19" t="e">
        <f t="shared" si="152"/>
        <v>#DIV/0!</v>
      </c>
      <c r="Q27" s="19" t="e">
        <f t="shared" si="152"/>
        <v>#DIV/0!</v>
      </c>
      <c r="R27" s="19" t="e">
        <f t="shared" si="152"/>
        <v>#DIV/0!</v>
      </c>
      <c r="S27" s="19" t="e">
        <f t="shared" si="152"/>
        <v>#DIV/0!</v>
      </c>
      <c r="T27" s="19" t="e">
        <f t="shared" si="152"/>
        <v>#DIV/0!</v>
      </c>
      <c r="U27" s="19" t="e">
        <f t="shared" si="152"/>
        <v>#DIV/0!</v>
      </c>
      <c r="V27" s="19" t="e">
        <f t="shared" si="152"/>
        <v>#DIV/0!</v>
      </c>
      <c r="W27" s="19" t="e">
        <f t="shared" si="152"/>
        <v>#DIV/0!</v>
      </c>
      <c r="X27" s="19" t="e">
        <f t="shared" si="152"/>
        <v>#DIV/0!</v>
      </c>
      <c r="Y27" s="19" t="e">
        <f t="shared" si="152"/>
        <v>#DIV/0!</v>
      </c>
      <c r="Z27" s="19" t="e">
        <f t="shared" si="152"/>
        <v>#DIV/0!</v>
      </c>
      <c r="AA27" s="19" t="e">
        <f t="shared" si="152"/>
        <v>#DIV/0!</v>
      </c>
      <c r="AB27" s="19" t="e">
        <f t="shared" si="152"/>
        <v>#DIV/0!</v>
      </c>
      <c r="AC27" s="19" t="e">
        <f t="shared" si="152"/>
        <v>#DIV/0!</v>
      </c>
      <c r="AD27" s="19" t="e">
        <f t="shared" si="152"/>
        <v>#DIV/0!</v>
      </c>
      <c r="AE27" s="19" t="e">
        <f t="shared" si="152"/>
        <v>#DIV/0!</v>
      </c>
      <c r="AF27" s="19" t="e">
        <f t="shared" si="152"/>
        <v>#DIV/0!</v>
      </c>
      <c r="AG27" s="19" t="e">
        <f t="shared" si="152"/>
        <v>#DIV/0!</v>
      </c>
      <c r="AH27" s="19" t="e">
        <f t="shared" si="152"/>
        <v>#DIV/0!</v>
      </c>
      <c r="AI27" s="19" t="e">
        <f t="shared" si="152"/>
        <v>#DIV/0!</v>
      </c>
      <c r="AJ27" s="19" t="e">
        <f t="shared" si="152"/>
        <v>#DIV/0!</v>
      </c>
      <c r="AK27" s="19" t="e">
        <f t="shared" si="152"/>
        <v>#DIV/0!</v>
      </c>
      <c r="AL27" s="19" t="e">
        <f t="shared" si="152"/>
        <v>#DIV/0!</v>
      </c>
      <c r="AM27" s="19" t="e">
        <f t="shared" si="152"/>
        <v>#DIV/0!</v>
      </c>
      <c r="AN27" s="19" t="e">
        <f t="shared" si="152"/>
        <v>#DIV/0!</v>
      </c>
      <c r="AO27" s="19" t="e">
        <f t="shared" si="152"/>
        <v>#DIV/0!</v>
      </c>
      <c r="AP27" s="19" t="e">
        <f t="shared" si="152"/>
        <v>#DIV/0!</v>
      </c>
      <c r="AQ27" s="19" t="e">
        <f t="shared" si="152"/>
        <v>#DIV/0!</v>
      </c>
      <c r="AR27" s="19" t="e">
        <f t="shared" si="152"/>
        <v>#DIV/0!</v>
      </c>
      <c r="AS27" s="19" t="e">
        <f t="shared" si="152"/>
        <v>#DIV/0!</v>
      </c>
      <c r="AT27" s="19" t="e">
        <f t="shared" si="152"/>
        <v>#DIV/0!</v>
      </c>
      <c r="AU27" s="19" t="e">
        <f t="shared" si="152"/>
        <v>#DIV/0!</v>
      </c>
      <c r="AV27" s="19" t="e">
        <f t="shared" si="152"/>
        <v>#DIV/0!</v>
      </c>
      <c r="AW27" s="19" t="e">
        <f t="shared" si="152"/>
        <v>#DIV/0!</v>
      </c>
      <c r="AX27" s="19" t="e">
        <f t="shared" si="152"/>
        <v>#DIV/0!</v>
      </c>
      <c r="AY27" s="19" t="e">
        <f t="shared" si="152"/>
        <v>#DIV/0!</v>
      </c>
      <c r="AZ27" s="19" t="e">
        <f t="shared" si="152"/>
        <v>#DIV/0!</v>
      </c>
      <c r="BA27" s="19" t="e">
        <f t="shared" si="152"/>
        <v>#DIV/0!</v>
      </c>
      <c r="BB27" s="19" t="e">
        <f t="shared" si="152"/>
        <v>#DIV/0!</v>
      </c>
      <c r="BC27" s="19" t="e">
        <f t="shared" si="152"/>
        <v>#DIV/0!</v>
      </c>
      <c r="BD27" s="19" t="e">
        <f t="shared" si="152"/>
        <v>#DIV/0!</v>
      </c>
      <c r="BE27" s="19" t="e">
        <f t="shared" si="152"/>
        <v>#DIV/0!</v>
      </c>
      <c r="BF27" s="19" t="e">
        <f t="shared" si="152"/>
        <v>#DIV/0!</v>
      </c>
      <c r="BG27" s="19" t="e">
        <f t="shared" si="152"/>
        <v>#DIV/0!</v>
      </c>
      <c r="BH27" s="19" t="e">
        <f t="shared" si="152"/>
        <v>#DIV/0!</v>
      </c>
      <c r="BI27" s="19" t="e">
        <f t="shared" si="152"/>
        <v>#DIV/0!</v>
      </c>
      <c r="BJ27" s="19" t="e">
        <f t="shared" si="152"/>
        <v>#DIV/0!</v>
      </c>
      <c r="BK27" s="19" t="e">
        <f t="shared" si="152"/>
        <v>#DIV/0!</v>
      </c>
      <c r="BL27" s="19" t="e">
        <f t="shared" si="152"/>
        <v>#DIV/0!</v>
      </c>
      <c r="BM27" s="19" t="e">
        <f t="shared" si="152"/>
        <v>#DIV/0!</v>
      </c>
      <c r="BN27" s="19" t="e">
        <f t="shared" si="152"/>
        <v>#DIV/0!</v>
      </c>
      <c r="BO27" s="19" t="e">
        <f t="shared" si="152"/>
        <v>#DIV/0!</v>
      </c>
      <c r="BP27" s="19" t="e">
        <f t="shared" si="152"/>
        <v>#DIV/0!</v>
      </c>
      <c r="BQ27" s="19" t="e">
        <f t="shared" ref="BQ27:EB27" si="153">BQ25/BQ23</f>
        <v>#DIV/0!</v>
      </c>
      <c r="BR27" s="19" t="e">
        <f t="shared" si="153"/>
        <v>#DIV/0!</v>
      </c>
      <c r="BS27" s="19" t="e">
        <f t="shared" si="153"/>
        <v>#DIV/0!</v>
      </c>
      <c r="BT27" s="19" t="e">
        <f t="shared" si="153"/>
        <v>#DIV/0!</v>
      </c>
      <c r="BU27" s="19" t="e">
        <f t="shared" si="153"/>
        <v>#DIV/0!</v>
      </c>
      <c r="BV27" s="19" t="e">
        <f t="shared" si="153"/>
        <v>#DIV/0!</v>
      </c>
      <c r="BW27" s="19" t="e">
        <f t="shared" si="153"/>
        <v>#DIV/0!</v>
      </c>
      <c r="BX27" s="19" t="e">
        <f t="shared" si="153"/>
        <v>#DIV/0!</v>
      </c>
      <c r="BY27" s="19" t="e">
        <f t="shared" si="153"/>
        <v>#DIV/0!</v>
      </c>
      <c r="BZ27" s="19" t="e">
        <f t="shared" si="153"/>
        <v>#DIV/0!</v>
      </c>
      <c r="CA27" s="19" t="e">
        <f t="shared" si="153"/>
        <v>#DIV/0!</v>
      </c>
      <c r="CB27" s="19" t="e">
        <f t="shared" si="153"/>
        <v>#DIV/0!</v>
      </c>
      <c r="CC27" s="19" t="e">
        <f t="shared" si="153"/>
        <v>#DIV/0!</v>
      </c>
      <c r="CD27" s="19" t="e">
        <f t="shared" si="153"/>
        <v>#DIV/0!</v>
      </c>
      <c r="CE27" s="19" t="e">
        <f t="shared" si="153"/>
        <v>#DIV/0!</v>
      </c>
      <c r="CF27" s="19" t="e">
        <f t="shared" si="153"/>
        <v>#DIV/0!</v>
      </c>
      <c r="CG27" s="19" t="e">
        <f t="shared" si="153"/>
        <v>#DIV/0!</v>
      </c>
      <c r="CH27" s="19" t="e">
        <f t="shared" si="153"/>
        <v>#DIV/0!</v>
      </c>
      <c r="CI27" s="19" t="e">
        <f t="shared" si="153"/>
        <v>#DIV/0!</v>
      </c>
      <c r="CJ27" s="19" t="e">
        <f t="shared" si="153"/>
        <v>#DIV/0!</v>
      </c>
      <c r="CK27" s="19" t="e">
        <f t="shared" si="153"/>
        <v>#DIV/0!</v>
      </c>
      <c r="CL27" s="19" t="e">
        <f t="shared" si="153"/>
        <v>#DIV/0!</v>
      </c>
      <c r="CM27" s="19" t="e">
        <f t="shared" si="153"/>
        <v>#DIV/0!</v>
      </c>
      <c r="CN27" s="19" t="e">
        <f t="shared" si="153"/>
        <v>#DIV/0!</v>
      </c>
      <c r="CO27" s="19" t="e">
        <f t="shared" si="153"/>
        <v>#DIV/0!</v>
      </c>
      <c r="CP27" s="19" t="e">
        <f t="shared" si="153"/>
        <v>#DIV/0!</v>
      </c>
      <c r="CQ27" s="19" t="e">
        <f t="shared" si="153"/>
        <v>#DIV/0!</v>
      </c>
      <c r="CR27" s="19" t="e">
        <f t="shared" si="153"/>
        <v>#DIV/0!</v>
      </c>
      <c r="CS27" s="19" t="e">
        <f t="shared" si="153"/>
        <v>#DIV/0!</v>
      </c>
      <c r="CT27" s="19" t="e">
        <f t="shared" si="153"/>
        <v>#DIV/0!</v>
      </c>
      <c r="CU27" s="19" t="e">
        <f t="shared" si="153"/>
        <v>#DIV/0!</v>
      </c>
      <c r="CV27" s="19" t="e">
        <f t="shared" si="153"/>
        <v>#DIV/0!</v>
      </c>
      <c r="CW27" s="19" t="e">
        <f t="shared" si="153"/>
        <v>#DIV/0!</v>
      </c>
      <c r="CX27" s="19" t="e">
        <f t="shared" si="153"/>
        <v>#DIV/0!</v>
      </c>
      <c r="CY27" s="19" t="e">
        <f t="shared" si="153"/>
        <v>#DIV/0!</v>
      </c>
      <c r="CZ27" s="19" t="e">
        <f t="shared" si="153"/>
        <v>#DIV/0!</v>
      </c>
      <c r="DA27" s="19" t="e">
        <f t="shared" si="153"/>
        <v>#DIV/0!</v>
      </c>
      <c r="DB27" s="19" t="e">
        <f t="shared" si="153"/>
        <v>#DIV/0!</v>
      </c>
      <c r="DC27" s="19" t="e">
        <f t="shared" si="153"/>
        <v>#DIV/0!</v>
      </c>
      <c r="DD27" s="19" t="e">
        <f t="shared" si="153"/>
        <v>#DIV/0!</v>
      </c>
      <c r="DE27" s="19" t="e">
        <f t="shared" si="153"/>
        <v>#DIV/0!</v>
      </c>
      <c r="DF27" s="19" t="e">
        <f t="shared" si="153"/>
        <v>#DIV/0!</v>
      </c>
      <c r="DG27" s="19" t="e">
        <f t="shared" si="153"/>
        <v>#DIV/0!</v>
      </c>
      <c r="DH27" s="19" t="e">
        <f t="shared" si="153"/>
        <v>#DIV/0!</v>
      </c>
      <c r="DI27" s="19" t="e">
        <f t="shared" si="153"/>
        <v>#DIV/0!</v>
      </c>
      <c r="DJ27" s="19" t="e">
        <f t="shared" si="153"/>
        <v>#DIV/0!</v>
      </c>
      <c r="DK27" s="19" t="e">
        <f t="shared" si="153"/>
        <v>#DIV/0!</v>
      </c>
      <c r="DL27" s="19" t="e">
        <f t="shared" si="153"/>
        <v>#DIV/0!</v>
      </c>
      <c r="DM27" s="19" t="e">
        <f t="shared" si="153"/>
        <v>#DIV/0!</v>
      </c>
      <c r="DN27" s="19" t="e">
        <f t="shared" si="153"/>
        <v>#DIV/0!</v>
      </c>
      <c r="DO27" s="19" t="e">
        <f t="shared" si="153"/>
        <v>#DIV/0!</v>
      </c>
      <c r="DP27" s="19" t="e">
        <f t="shared" si="153"/>
        <v>#DIV/0!</v>
      </c>
      <c r="DQ27" s="19" t="e">
        <f t="shared" si="153"/>
        <v>#DIV/0!</v>
      </c>
      <c r="DR27" s="19" t="e">
        <f t="shared" si="153"/>
        <v>#DIV/0!</v>
      </c>
      <c r="DS27" s="19" t="e">
        <f t="shared" si="153"/>
        <v>#DIV/0!</v>
      </c>
      <c r="DT27" s="19" t="e">
        <f t="shared" si="153"/>
        <v>#DIV/0!</v>
      </c>
      <c r="DU27" s="19" t="e">
        <f t="shared" si="153"/>
        <v>#DIV/0!</v>
      </c>
      <c r="DV27" s="19" t="e">
        <f t="shared" si="153"/>
        <v>#DIV/0!</v>
      </c>
      <c r="DW27" s="19" t="e">
        <f t="shared" si="153"/>
        <v>#DIV/0!</v>
      </c>
      <c r="DX27" s="19" t="e">
        <f t="shared" si="153"/>
        <v>#DIV/0!</v>
      </c>
      <c r="DY27" s="19" t="e">
        <f t="shared" si="153"/>
        <v>#DIV/0!</v>
      </c>
      <c r="DZ27" s="19" t="e">
        <f t="shared" si="153"/>
        <v>#DIV/0!</v>
      </c>
      <c r="EA27" s="19" t="e">
        <f t="shared" si="153"/>
        <v>#DIV/0!</v>
      </c>
      <c r="EB27" s="19" t="e">
        <f t="shared" si="153"/>
        <v>#DIV/0!</v>
      </c>
      <c r="EC27" s="19" t="e">
        <f t="shared" ref="EC27:EY27" si="154">EC25/EC23</f>
        <v>#DIV/0!</v>
      </c>
      <c r="ED27" s="19" t="e">
        <f t="shared" si="154"/>
        <v>#DIV/0!</v>
      </c>
      <c r="EE27" s="19" t="e">
        <f t="shared" si="154"/>
        <v>#DIV/0!</v>
      </c>
      <c r="EF27" s="19" t="e">
        <f t="shared" si="154"/>
        <v>#DIV/0!</v>
      </c>
      <c r="EG27" s="19" t="e">
        <f t="shared" si="154"/>
        <v>#DIV/0!</v>
      </c>
      <c r="EH27" s="19" t="e">
        <f t="shared" si="154"/>
        <v>#DIV/0!</v>
      </c>
      <c r="EI27" s="19" t="e">
        <f t="shared" si="154"/>
        <v>#DIV/0!</v>
      </c>
      <c r="EJ27" s="19" t="e">
        <f t="shared" si="154"/>
        <v>#DIV/0!</v>
      </c>
      <c r="EK27" s="19" t="e">
        <f t="shared" si="154"/>
        <v>#DIV/0!</v>
      </c>
      <c r="EL27" s="19" t="e">
        <f t="shared" si="154"/>
        <v>#DIV/0!</v>
      </c>
      <c r="EM27" s="19" t="e">
        <f t="shared" si="154"/>
        <v>#DIV/0!</v>
      </c>
      <c r="EN27" s="19" t="e">
        <f t="shared" si="154"/>
        <v>#DIV/0!</v>
      </c>
      <c r="EO27" s="19" t="e">
        <f t="shared" si="154"/>
        <v>#DIV/0!</v>
      </c>
      <c r="EP27" s="19" t="e">
        <f t="shared" si="154"/>
        <v>#DIV/0!</v>
      </c>
      <c r="EQ27" s="19" t="e">
        <f t="shared" si="154"/>
        <v>#DIV/0!</v>
      </c>
      <c r="ER27" s="19" t="e">
        <f t="shared" si="154"/>
        <v>#DIV/0!</v>
      </c>
      <c r="ES27" s="19" t="e">
        <f t="shared" si="154"/>
        <v>#DIV/0!</v>
      </c>
      <c r="ET27" s="19" t="e">
        <f t="shared" si="154"/>
        <v>#DIV/0!</v>
      </c>
      <c r="EU27" s="19" t="e">
        <f t="shared" si="154"/>
        <v>#DIV/0!</v>
      </c>
      <c r="EV27" s="19" t="e">
        <f t="shared" si="154"/>
        <v>#DIV/0!</v>
      </c>
      <c r="EW27" s="19" t="e">
        <f t="shared" si="154"/>
        <v>#DIV/0!</v>
      </c>
      <c r="EX27" s="19" t="e">
        <f t="shared" si="154"/>
        <v>#DIV/0!</v>
      </c>
      <c r="EY27" s="19" t="e">
        <f t="shared" si="154"/>
        <v>#DIV/0!</v>
      </c>
    </row>
    <row r="28" spans="1:155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155">F25/F24</f>
        <v>#DIV/0!</v>
      </c>
      <c r="G28" s="20" t="e">
        <f t="shared" si="155"/>
        <v>#DIV/0!</v>
      </c>
      <c r="H28" s="20" t="e">
        <f t="shared" si="155"/>
        <v>#DIV/0!</v>
      </c>
      <c r="I28" s="20" t="e">
        <f t="shared" si="155"/>
        <v>#DIV/0!</v>
      </c>
      <c r="J28" s="20" t="e">
        <f t="shared" si="155"/>
        <v>#DIV/0!</v>
      </c>
      <c r="K28" s="20" t="e">
        <f t="shared" si="155"/>
        <v>#DIV/0!</v>
      </c>
      <c r="L28" s="20" t="e">
        <f t="shared" si="155"/>
        <v>#DIV/0!</v>
      </c>
      <c r="M28" s="20" t="e">
        <f t="shared" si="155"/>
        <v>#DIV/0!</v>
      </c>
      <c r="N28" s="20" t="e">
        <f t="shared" si="155"/>
        <v>#DIV/0!</v>
      </c>
      <c r="O28" s="20" t="e">
        <f t="shared" si="155"/>
        <v>#DIV/0!</v>
      </c>
      <c r="P28" s="20" t="e">
        <f t="shared" si="155"/>
        <v>#DIV/0!</v>
      </c>
      <c r="Q28" s="20" t="e">
        <f t="shared" si="155"/>
        <v>#DIV/0!</v>
      </c>
      <c r="R28" s="20" t="e">
        <f t="shared" si="155"/>
        <v>#DIV/0!</v>
      </c>
      <c r="S28" s="20" t="e">
        <f t="shared" si="155"/>
        <v>#DIV/0!</v>
      </c>
      <c r="T28" s="20" t="e">
        <f t="shared" si="155"/>
        <v>#DIV/0!</v>
      </c>
      <c r="U28" s="20" t="e">
        <f t="shared" si="155"/>
        <v>#DIV/0!</v>
      </c>
      <c r="V28" s="20" t="e">
        <f t="shared" si="155"/>
        <v>#DIV/0!</v>
      </c>
      <c r="W28" s="20" t="e">
        <f t="shared" si="155"/>
        <v>#DIV/0!</v>
      </c>
      <c r="X28" s="20" t="e">
        <f t="shared" si="155"/>
        <v>#DIV/0!</v>
      </c>
      <c r="Y28" s="20" t="e">
        <f t="shared" si="155"/>
        <v>#DIV/0!</v>
      </c>
      <c r="Z28" s="20" t="e">
        <f t="shared" si="155"/>
        <v>#DIV/0!</v>
      </c>
      <c r="AA28" s="20" t="e">
        <f t="shared" si="155"/>
        <v>#DIV/0!</v>
      </c>
      <c r="AB28" s="20" t="e">
        <f>AB26/AB24</f>
        <v>#DIV/0!</v>
      </c>
      <c r="AC28" s="20" t="e">
        <f t="shared" ref="AC28:AL28" si="156">AC26/AC24</f>
        <v>#DIV/0!</v>
      </c>
      <c r="AD28" s="20" t="e">
        <f t="shared" si="156"/>
        <v>#DIV/0!</v>
      </c>
      <c r="AE28" s="20" t="e">
        <f t="shared" si="156"/>
        <v>#DIV/0!</v>
      </c>
      <c r="AF28" s="20" t="e">
        <f t="shared" si="156"/>
        <v>#DIV/0!</v>
      </c>
      <c r="AG28" s="20" t="e">
        <f t="shared" si="156"/>
        <v>#DIV/0!</v>
      </c>
      <c r="AH28" s="20" t="e">
        <f t="shared" si="156"/>
        <v>#DIV/0!</v>
      </c>
      <c r="AI28" s="20" t="e">
        <f t="shared" si="156"/>
        <v>#DIV/0!</v>
      </c>
      <c r="AJ28" s="20" t="e">
        <f t="shared" si="156"/>
        <v>#DIV/0!</v>
      </c>
      <c r="AK28" s="20" t="e">
        <f t="shared" si="156"/>
        <v>#DIV/0!</v>
      </c>
      <c r="AL28" s="20" t="e">
        <f t="shared" si="156"/>
        <v>#DIV/0!</v>
      </c>
      <c r="AM28" s="20" t="e">
        <f>AM26/AM24</f>
        <v>#DIV/0!</v>
      </c>
      <c r="AN28" s="20" t="e">
        <f t="shared" ref="AN28:AR28" si="157">AN26/AN24</f>
        <v>#DIV/0!</v>
      </c>
      <c r="AO28" s="20" t="e">
        <f t="shared" si="157"/>
        <v>#DIV/0!</v>
      </c>
      <c r="AP28" s="20" t="e">
        <f t="shared" si="157"/>
        <v>#DIV/0!</v>
      </c>
      <c r="AQ28" s="20" t="e">
        <f t="shared" si="157"/>
        <v>#DIV/0!</v>
      </c>
      <c r="AR28" s="20" t="e">
        <f t="shared" si="157"/>
        <v>#DIV/0!</v>
      </c>
      <c r="AS28" s="20" t="e">
        <f t="shared" ref="AS28:DD28" si="158">AS25/AS24</f>
        <v>#DIV/0!</v>
      </c>
      <c r="AT28" s="20" t="e">
        <f t="shared" si="158"/>
        <v>#DIV/0!</v>
      </c>
      <c r="AU28" s="20" t="e">
        <f t="shared" si="158"/>
        <v>#DIV/0!</v>
      </c>
      <c r="AV28" s="20" t="e">
        <f t="shared" si="158"/>
        <v>#DIV/0!</v>
      </c>
      <c r="AW28" s="20" t="e">
        <f t="shared" si="158"/>
        <v>#DIV/0!</v>
      </c>
      <c r="AX28" s="20" t="e">
        <f t="shared" si="158"/>
        <v>#DIV/0!</v>
      </c>
      <c r="AY28" s="20" t="e">
        <f t="shared" si="158"/>
        <v>#DIV/0!</v>
      </c>
      <c r="AZ28" s="20" t="e">
        <f t="shared" si="158"/>
        <v>#DIV/0!</v>
      </c>
      <c r="BA28" s="20" t="e">
        <f t="shared" si="158"/>
        <v>#DIV/0!</v>
      </c>
      <c r="BB28" s="20" t="e">
        <f t="shared" si="158"/>
        <v>#DIV/0!</v>
      </c>
      <c r="BC28" s="20" t="e">
        <f t="shared" si="158"/>
        <v>#DIV/0!</v>
      </c>
      <c r="BD28" s="20" t="e">
        <f t="shared" si="158"/>
        <v>#DIV/0!</v>
      </c>
      <c r="BE28" s="20" t="e">
        <f t="shared" si="158"/>
        <v>#DIV/0!</v>
      </c>
      <c r="BF28" s="20" t="e">
        <f t="shared" si="158"/>
        <v>#DIV/0!</v>
      </c>
      <c r="BG28" s="20" t="e">
        <f t="shared" si="158"/>
        <v>#DIV/0!</v>
      </c>
      <c r="BH28" s="20" t="e">
        <f t="shared" si="158"/>
        <v>#DIV/0!</v>
      </c>
      <c r="BI28" s="20" t="e">
        <f t="shared" si="158"/>
        <v>#DIV/0!</v>
      </c>
      <c r="BJ28" s="20" t="e">
        <f t="shared" si="158"/>
        <v>#DIV/0!</v>
      </c>
      <c r="BK28" s="20" t="e">
        <f t="shared" si="158"/>
        <v>#DIV/0!</v>
      </c>
      <c r="BL28" s="20" t="e">
        <f t="shared" si="158"/>
        <v>#DIV/0!</v>
      </c>
      <c r="BM28" s="20" t="e">
        <f t="shared" si="158"/>
        <v>#DIV/0!</v>
      </c>
      <c r="BN28" s="20" t="e">
        <f t="shared" si="158"/>
        <v>#DIV/0!</v>
      </c>
      <c r="BO28" s="20" t="e">
        <f t="shared" si="158"/>
        <v>#DIV/0!</v>
      </c>
      <c r="BP28" s="20" t="e">
        <f t="shared" si="158"/>
        <v>#DIV/0!</v>
      </c>
      <c r="BQ28" s="20" t="e">
        <f t="shared" si="158"/>
        <v>#DIV/0!</v>
      </c>
      <c r="BR28" s="20" t="e">
        <f t="shared" si="158"/>
        <v>#DIV/0!</v>
      </c>
      <c r="BS28" s="20" t="e">
        <f t="shared" si="158"/>
        <v>#DIV/0!</v>
      </c>
      <c r="BT28" s="20" t="e">
        <f t="shared" si="158"/>
        <v>#DIV/0!</v>
      </c>
      <c r="BU28" s="20" t="e">
        <f t="shared" si="158"/>
        <v>#DIV/0!</v>
      </c>
      <c r="BV28" s="20" t="e">
        <f t="shared" si="158"/>
        <v>#DIV/0!</v>
      </c>
      <c r="BW28" s="20" t="e">
        <f t="shared" si="158"/>
        <v>#DIV/0!</v>
      </c>
      <c r="BX28" s="20" t="e">
        <f t="shared" si="158"/>
        <v>#DIV/0!</v>
      </c>
      <c r="BY28" s="20" t="e">
        <f t="shared" si="158"/>
        <v>#DIV/0!</v>
      </c>
      <c r="BZ28" s="20" t="e">
        <f t="shared" si="158"/>
        <v>#DIV/0!</v>
      </c>
      <c r="CA28" s="20" t="e">
        <f t="shared" si="158"/>
        <v>#DIV/0!</v>
      </c>
      <c r="CB28" s="20" t="e">
        <f t="shared" si="158"/>
        <v>#DIV/0!</v>
      </c>
      <c r="CC28" s="20" t="e">
        <f t="shared" si="158"/>
        <v>#DIV/0!</v>
      </c>
      <c r="CD28" s="20" t="e">
        <f t="shared" si="158"/>
        <v>#DIV/0!</v>
      </c>
      <c r="CE28" s="20" t="e">
        <f t="shared" si="158"/>
        <v>#DIV/0!</v>
      </c>
      <c r="CF28" s="20" t="e">
        <f t="shared" si="158"/>
        <v>#DIV/0!</v>
      </c>
      <c r="CG28" s="20" t="e">
        <f t="shared" si="158"/>
        <v>#DIV/0!</v>
      </c>
      <c r="CH28" s="20" t="e">
        <f t="shared" si="158"/>
        <v>#DIV/0!</v>
      </c>
      <c r="CI28" s="20" t="e">
        <f t="shared" si="158"/>
        <v>#DIV/0!</v>
      </c>
      <c r="CJ28" s="20" t="e">
        <f t="shared" si="158"/>
        <v>#DIV/0!</v>
      </c>
      <c r="CK28" s="20" t="e">
        <f t="shared" si="158"/>
        <v>#DIV/0!</v>
      </c>
      <c r="CL28" s="20" t="e">
        <f t="shared" si="158"/>
        <v>#DIV/0!</v>
      </c>
      <c r="CM28" s="20" t="e">
        <f t="shared" si="158"/>
        <v>#DIV/0!</v>
      </c>
      <c r="CN28" s="20" t="e">
        <f t="shared" si="158"/>
        <v>#DIV/0!</v>
      </c>
      <c r="CO28" s="20" t="e">
        <f t="shared" si="158"/>
        <v>#DIV/0!</v>
      </c>
      <c r="CP28" s="20" t="e">
        <f t="shared" si="158"/>
        <v>#DIV/0!</v>
      </c>
      <c r="CQ28" s="20" t="e">
        <f t="shared" si="158"/>
        <v>#DIV/0!</v>
      </c>
      <c r="CR28" s="20" t="e">
        <f t="shared" si="158"/>
        <v>#DIV/0!</v>
      </c>
      <c r="CS28" s="20" t="e">
        <f t="shared" si="158"/>
        <v>#DIV/0!</v>
      </c>
      <c r="CT28" s="20" t="e">
        <f t="shared" si="158"/>
        <v>#DIV/0!</v>
      </c>
      <c r="CU28" s="20" t="e">
        <f t="shared" si="158"/>
        <v>#DIV/0!</v>
      </c>
      <c r="CV28" s="20" t="e">
        <f t="shared" si="158"/>
        <v>#DIV/0!</v>
      </c>
      <c r="CW28" s="20" t="e">
        <f t="shared" si="158"/>
        <v>#DIV/0!</v>
      </c>
      <c r="CX28" s="20" t="e">
        <f t="shared" si="158"/>
        <v>#DIV/0!</v>
      </c>
      <c r="CY28" s="20" t="e">
        <f t="shared" si="158"/>
        <v>#DIV/0!</v>
      </c>
      <c r="CZ28" s="20" t="e">
        <f t="shared" si="158"/>
        <v>#DIV/0!</v>
      </c>
      <c r="DA28" s="20" t="e">
        <f t="shared" si="158"/>
        <v>#DIV/0!</v>
      </c>
      <c r="DB28" s="20" t="e">
        <f t="shared" si="158"/>
        <v>#DIV/0!</v>
      </c>
      <c r="DC28" s="20" t="e">
        <f t="shared" si="158"/>
        <v>#DIV/0!</v>
      </c>
      <c r="DD28" s="20" t="e">
        <f t="shared" si="158"/>
        <v>#DIV/0!</v>
      </c>
      <c r="DE28" s="20">
        <f t="shared" ref="DE28:EY28" si="159">DE25/DE24</f>
        <v>1.0344827586206897</v>
      </c>
      <c r="DF28" s="20">
        <f t="shared" si="159"/>
        <v>0.96551724137931039</v>
      </c>
      <c r="DG28" s="20">
        <f t="shared" si="159"/>
        <v>1.0344827586206897</v>
      </c>
      <c r="DH28" s="20">
        <f t="shared" si="159"/>
        <v>0.89655172413793105</v>
      </c>
      <c r="DI28" s="20">
        <f t="shared" si="159"/>
        <v>0.89655172413793105</v>
      </c>
      <c r="DJ28" s="20">
        <f t="shared" si="159"/>
        <v>0.82758620689655171</v>
      </c>
      <c r="DK28" s="20">
        <f t="shared" si="159"/>
        <v>0.75862068965517238</v>
      </c>
      <c r="DL28" s="20">
        <f t="shared" si="159"/>
        <v>1.1724137931034482</v>
      </c>
      <c r="DM28" s="20">
        <f t="shared" si="159"/>
        <v>1.1724137931034482</v>
      </c>
      <c r="DN28" s="20">
        <f t="shared" si="159"/>
        <v>1.1724137931034482</v>
      </c>
      <c r="DO28" s="20">
        <f t="shared" si="159"/>
        <v>1.1724137931034482</v>
      </c>
      <c r="DP28" s="20">
        <f t="shared" si="159"/>
        <v>1.1724137931034482</v>
      </c>
      <c r="DQ28" s="20">
        <f t="shared" si="159"/>
        <v>1.1724137931034482</v>
      </c>
      <c r="DR28" s="20">
        <f t="shared" si="159"/>
        <v>1.1724137931034482</v>
      </c>
      <c r="DS28" s="20">
        <f t="shared" si="159"/>
        <v>1.1724137931034482</v>
      </c>
      <c r="DT28" s="20">
        <f t="shared" si="159"/>
        <v>1.1724137931034482</v>
      </c>
      <c r="DU28" s="20">
        <f t="shared" si="159"/>
        <v>1.1724137931034482</v>
      </c>
      <c r="DV28" s="20">
        <f t="shared" si="159"/>
        <v>1.1724137931034482</v>
      </c>
      <c r="DW28" s="20">
        <f t="shared" si="159"/>
        <v>1.1724137931034482</v>
      </c>
      <c r="DX28" s="20">
        <f t="shared" si="159"/>
        <v>1.0344827586206897</v>
      </c>
      <c r="DY28" s="20">
        <f t="shared" si="159"/>
        <v>1.103448275862069</v>
      </c>
      <c r="DZ28" s="20">
        <f t="shared" si="159"/>
        <v>1.103448275862069</v>
      </c>
      <c r="EA28" s="20">
        <f t="shared" si="159"/>
        <v>0.96551724137931039</v>
      </c>
      <c r="EB28" s="20">
        <f t="shared" si="159"/>
        <v>0.96551724137931039</v>
      </c>
      <c r="EC28" s="20">
        <f t="shared" si="159"/>
        <v>1.2413793103448276</v>
      </c>
      <c r="ED28" s="20">
        <f t="shared" si="159"/>
        <v>1.2413793103448276</v>
      </c>
      <c r="EE28" s="20">
        <f t="shared" si="159"/>
        <v>1.2413793103448276</v>
      </c>
      <c r="EF28" s="20">
        <f t="shared" si="159"/>
        <v>1.2413793103448276</v>
      </c>
      <c r="EG28" s="20">
        <f t="shared" si="159"/>
        <v>1.2413793103448276</v>
      </c>
      <c r="EH28" s="20">
        <f t="shared" si="159"/>
        <v>1.2413793103448276</v>
      </c>
      <c r="EI28" s="20">
        <f t="shared" si="159"/>
        <v>1.2413793103448276</v>
      </c>
      <c r="EJ28" s="20">
        <f t="shared" si="159"/>
        <v>1.2413793103448276</v>
      </c>
      <c r="EK28" s="20">
        <f t="shared" si="159"/>
        <v>1.1724137931034482</v>
      </c>
      <c r="EL28" s="20">
        <f t="shared" si="159"/>
        <v>1.1724137931034482</v>
      </c>
      <c r="EM28" s="20">
        <f t="shared" si="159"/>
        <v>1.1724137931034482</v>
      </c>
      <c r="EN28" s="20">
        <f t="shared" si="159"/>
        <v>1.1724137931034482</v>
      </c>
      <c r="EO28" s="20">
        <f t="shared" si="159"/>
        <v>1.103448275862069</v>
      </c>
      <c r="EP28" s="20">
        <f t="shared" si="159"/>
        <v>1.103448275862069</v>
      </c>
      <c r="EQ28" s="20">
        <f t="shared" si="159"/>
        <v>1.103448275862069</v>
      </c>
      <c r="ER28" s="20">
        <f t="shared" si="159"/>
        <v>1.103448275862069</v>
      </c>
      <c r="ES28" s="20">
        <f t="shared" si="159"/>
        <v>1.0344827586206897</v>
      </c>
      <c r="ET28" s="20">
        <f t="shared" si="159"/>
        <v>1.2364753951149423</v>
      </c>
      <c r="EU28" s="20" t="e">
        <f t="shared" si="159"/>
        <v>#DIV/0!</v>
      </c>
      <c r="EV28" s="20" t="e">
        <f t="shared" si="159"/>
        <v>#DIV/0!</v>
      </c>
      <c r="EW28" s="20" t="e">
        <f t="shared" si="159"/>
        <v>#DIV/0!</v>
      </c>
      <c r="EX28" s="20" t="e">
        <f t="shared" si="159"/>
        <v>#DIV/0!</v>
      </c>
      <c r="EY28" s="20" t="e">
        <f t="shared" si="159"/>
        <v>#DIV/0!</v>
      </c>
    </row>
    <row r="30" spans="1:155" x14ac:dyDescent="0.3">
      <c r="A30" s="36" t="s">
        <v>38</v>
      </c>
      <c r="B30" s="36" t="s">
        <v>39</v>
      </c>
      <c r="C30" s="37" t="s">
        <v>2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0</v>
      </c>
      <c r="BU30" s="16">
        <f t="shared" ref="BU30:CW30" si="160">BU2+BU9+BU16</f>
        <v>0</v>
      </c>
      <c r="BV30" s="16">
        <f t="shared" si="160"/>
        <v>0</v>
      </c>
      <c r="BW30" s="16">
        <f t="shared" si="160"/>
        <v>0</v>
      </c>
      <c r="BX30" s="16">
        <f t="shared" si="160"/>
        <v>0</v>
      </c>
      <c r="BY30" s="16">
        <f t="shared" si="160"/>
        <v>0</v>
      </c>
      <c r="BZ30" s="16">
        <f t="shared" si="160"/>
        <v>0</v>
      </c>
      <c r="CA30" s="16">
        <f t="shared" si="160"/>
        <v>0</v>
      </c>
      <c r="CB30" s="16">
        <f t="shared" si="160"/>
        <v>0</v>
      </c>
      <c r="CC30" s="16">
        <f t="shared" si="160"/>
        <v>0</v>
      </c>
      <c r="CD30" s="16">
        <f t="shared" si="160"/>
        <v>0</v>
      </c>
      <c r="CE30" s="16">
        <f t="shared" si="160"/>
        <v>0</v>
      </c>
      <c r="CF30" s="16">
        <f t="shared" si="160"/>
        <v>0</v>
      </c>
      <c r="CG30" s="16">
        <f t="shared" si="160"/>
        <v>0</v>
      </c>
      <c r="CH30" s="16">
        <f t="shared" si="160"/>
        <v>0</v>
      </c>
      <c r="CI30" s="16">
        <f t="shared" si="160"/>
        <v>0</v>
      </c>
      <c r="CJ30" s="16">
        <f t="shared" si="160"/>
        <v>0</v>
      </c>
      <c r="CK30" s="16">
        <f t="shared" si="160"/>
        <v>0</v>
      </c>
      <c r="CL30" s="16">
        <f t="shared" si="160"/>
        <v>0</v>
      </c>
      <c r="CM30" s="16">
        <f t="shared" si="160"/>
        <v>0</v>
      </c>
      <c r="CN30" s="16">
        <f t="shared" si="160"/>
        <v>0</v>
      </c>
      <c r="CO30" s="16">
        <f t="shared" si="160"/>
        <v>0</v>
      </c>
      <c r="CP30" s="16">
        <f t="shared" si="160"/>
        <v>0</v>
      </c>
      <c r="CQ30" s="16">
        <f t="shared" si="160"/>
        <v>0</v>
      </c>
      <c r="CR30" s="16">
        <f t="shared" si="160"/>
        <v>0</v>
      </c>
      <c r="CS30" s="16">
        <f t="shared" si="160"/>
        <v>0</v>
      </c>
      <c r="CT30" s="16">
        <f t="shared" si="160"/>
        <v>0</v>
      </c>
      <c r="CU30" s="16">
        <f t="shared" si="160"/>
        <v>0</v>
      </c>
      <c r="CV30" s="16">
        <f t="shared" si="160"/>
        <v>0</v>
      </c>
      <c r="CW30" s="16">
        <f t="shared" si="160"/>
        <v>0</v>
      </c>
      <c r="CX30" s="16">
        <f t="shared" ref="CX30:CY30" si="161">CX2+CX9+CX16</f>
        <v>0</v>
      </c>
      <c r="CY30" s="16">
        <f t="shared" si="161"/>
        <v>0</v>
      </c>
      <c r="CZ30" s="16">
        <f t="shared" ref="CZ30:EX30" si="162">CZ2+CZ9+CZ16</f>
        <v>0</v>
      </c>
      <c r="DA30" s="16">
        <f t="shared" si="162"/>
        <v>0</v>
      </c>
      <c r="DB30" s="16">
        <f t="shared" si="162"/>
        <v>0</v>
      </c>
      <c r="DC30" s="16">
        <f t="shared" si="162"/>
        <v>0</v>
      </c>
      <c r="DD30" s="16">
        <f t="shared" si="162"/>
        <v>0</v>
      </c>
      <c r="DE30" s="16">
        <f t="shared" si="162"/>
        <v>0</v>
      </c>
      <c r="DF30" s="16">
        <f t="shared" si="162"/>
        <v>0</v>
      </c>
      <c r="DG30" s="16">
        <f t="shared" si="162"/>
        <v>0</v>
      </c>
      <c r="DH30" s="16">
        <f t="shared" si="162"/>
        <v>0</v>
      </c>
      <c r="DI30" s="16">
        <f t="shared" si="162"/>
        <v>0</v>
      </c>
      <c r="DJ30" s="16">
        <f t="shared" si="162"/>
        <v>0</v>
      </c>
      <c r="DK30" s="16">
        <f t="shared" si="162"/>
        <v>0</v>
      </c>
      <c r="DL30" s="16">
        <f t="shared" si="162"/>
        <v>0</v>
      </c>
      <c r="DM30" s="16">
        <f t="shared" si="162"/>
        <v>0</v>
      </c>
      <c r="DN30" s="16">
        <f t="shared" si="162"/>
        <v>0</v>
      </c>
      <c r="DO30" s="16">
        <f t="shared" si="162"/>
        <v>0</v>
      </c>
      <c r="DP30" s="16">
        <f t="shared" si="162"/>
        <v>0</v>
      </c>
      <c r="DQ30" s="16">
        <f t="shared" si="162"/>
        <v>0</v>
      </c>
      <c r="DR30" s="16">
        <f t="shared" ref="DR30" si="163">DR2+DR9+DR16</f>
        <v>0</v>
      </c>
      <c r="DS30" s="16">
        <f t="shared" si="162"/>
        <v>0</v>
      </c>
      <c r="DT30" s="16">
        <f t="shared" si="162"/>
        <v>0</v>
      </c>
      <c r="DU30" s="16">
        <f t="shared" si="162"/>
        <v>0</v>
      </c>
      <c r="DV30" s="16">
        <f t="shared" si="162"/>
        <v>0</v>
      </c>
      <c r="DW30" s="16">
        <f t="shared" si="162"/>
        <v>0</v>
      </c>
      <c r="DX30" s="16">
        <f t="shared" si="162"/>
        <v>0</v>
      </c>
      <c r="DY30" s="16">
        <f t="shared" si="162"/>
        <v>0</v>
      </c>
      <c r="DZ30" s="16">
        <f t="shared" si="162"/>
        <v>0</v>
      </c>
      <c r="EA30" s="16">
        <f t="shared" si="162"/>
        <v>0</v>
      </c>
      <c r="EB30" s="16">
        <f t="shared" si="162"/>
        <v>0</v>
      </c>
      <c r="EC30" s="16">
        <f t="shared" si="162"/>
        <v>0</v>
      </c>
      <c r="ED30" s="16">
        <f t="shared" si="162"/>
        <v>0</v>
      </c>
      <c r="EE30" s="16">
        <f t="shared" si="162"/>
        <v>0</v>
      </c>
      <c r="EF30" s="16">
        <f t="shared" si="162"/>
        <v>0</v>
      </c>
      <c r="EG30" s="16">
        <f t="shared" si="162"/>
        <v>0</v>
      </c>
      <c r="EH30" s="16">
        <f t="shared" si="162"/>
        <v>0</v>
      </c>
      <c r="EI30" s="16">
        <f t="shared" si="162"/>
        <v>0</v>
      </c>
      <c r="EJ30" s="16">
        <f t="shared" si="162"/>
        <v>0</v>
      </c>
      <c r="EK30" s="16">
        <f t="shared" si="162"/>
        <v>0</v>
      </c>
      <c r="EL30" s="16">
        <f t="shared" si="162"/>
        <v>0</v>
      </c>
      <c r="EM30" s="16">
        <f t="shared" si="162"/>
        <v>0</v>
      </c>
      <c r="EN30" s="16">
        <f t="shared" si="162"/>
        <v>0</v>
      </c>
      <c r="EO30" s="16">
        <f t="shared" si="162"/>
        <v>0</v>
      </c>
      <c r="EP30" s="16">
        <f t="shared" si="162"/>
        <v>0</v>
      </c>
      <c r="EQ30" s="16">
        <f t="shared" si="162"/>
        <v>0</v>
      </c>
      <c r="ER30" s="16">
        <f t="shared" si="162"/>
        <v>0</v>
      </c>
      <c r="ES30" s="16">
        <f t="shared" si="162"/>
        <v>0</v>
      </c>
      <c r="ET30" s="16">
        <f t="shared" si="162"/>
        <v>0</v>
      </c>
      <c r="EU30" s="16">
        <f t="shared" si="162"/>
        <v>0</v>
      </c>
      <c r="EV30" s="16">
        <f t="shared" si="162"/>
        <v>0</v>
      </c>
      <c r="EW30" s="16">
        <f t="shared" si="162"/>
        <v>0</v>
      </c>
      <c r="EX30" s="16">
        <f t="shared" si="162"/>
        <v>0</v>
      </c>
      <c r="EY30" s="16">
        <f t="shared" ref="EY30" si="164">EY2+EY9+EY16</f>
        <v>0</v>
      </c>
    </row>
    <row r="31" spans="1:155" x14ac:dyDescent="0.3">
      <c r="A31" s="36"/>
      <c r="B31" s="36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33</v>
      </c>
      <c r="BU31" s="17">
        <f t="shared" ref="BU31:CW31" si="165">BU3+BU10+BU17</f>
        <v>30</v>
      </c>
      <c r="BV31" s="17">
        <f t="shared" si="165"/>
        <v>32</v>
      </c>
      <c r="BW31" s="21">
        <f t="shared" si="165"/>
        <v>32</v>
      </c>
      <c r="BX31" s="21">
        <f t="shared" si="165"/>
        <v>19</v>
      </c>
      <c r="BY31" s="21">
        <f t="shared" si="165"/>
        <v>10</v>
      </c>
      <c r="BZ31" s="21">
        <f t="shared" si="165"/>
        <v>10</v>
      </c>
      <c r="CA31" s="21">
        <f t="shared" si="165"/>
        <v>10</v>
      </c>
      <c r="CB31" s="21">
        <f t="shared" si="165"/>
        <v>9</v>
      </c>
      <c r="CC31" s="21">
        <f t="shared" si="165"/>
        <v>9</v>
      </c>
      <c r="CD31" s="21">
        <f t="shared" si="165"/>
        <v>9</v>
      </c>
      <c r="CE31" s="21">
        <f t="shared" si="165"/>
        <v>9</v>
      </c>
      <c r="CF31" s="21">
        <f t="shared" si="165"/>
        <v>9</v>
      </c>
      <c r="CG31" s="21">
        <f t="shared" si="165"/>
        <v>35</v>
      </c>
      <c r="CH31" s="21">
        <f t="shared" si="165"/>
        <v>35</v>
      </c>
      <c r="CI31" s="21">
        <f t="shared" si="165"/>
        <v>32</v>
      </c>
      <c r="CJ31" s="21">
        <f t="shared" si="165"/>
        <v>32</v>
      </c>
      <c r="CK31" s="17">
        <f t="shared" si="165"/>
        <v>32</v>
      </c>
      <c r="CL31" s="17">
        <f t="shared" si="165"/>
        <v>32</v>
      </c>
      <c r="CM31" s="17">
        <f t="shared" si="165"/>
        <v>32</v>
      </c>
      <c r="CN31" s="17">
        <f t="shared" si="165"/>
        <v>32</v>
      </c>
      <c r="CO31" s="17">
        <f t="shared" si="165"/>
        <v>32</v>
      </c>
      <c r="CP31" s="17">
        <f t="shared" si="165"/>
        <v>32</v>
      </c>
      <c r="CQ31" s="17">
        <f t="shared" si="165"/>
        <v>32</v>
      </c>
      <c r="CR31" s="17">
        <f t="shared" si="165"/>
        <v>32</v>
      </c>
      <c r="CS31" s="17">
        <f t="shared" si="165"/>
        <v>32</v>
      </c>
      <c r="CT31" s="17">
        <f t="shared" si="165"/>
        <v>32</v>
      </c>
      <c r="CU31" s="17">
        <f t="shared" si="165"/>
        <v>32</v>
      </c>
      <c r="CV31" s="17">
        <f t="shared" si="165"/>
        <v>32</v>
      </c>
      <c r="CW31" s="17">
        <f t="shared" si="165"/>
        <v>32</v>
      </c>
      <c r="CX31" s="17">
        <f t="shared" ref="CX31:CY31" si="166">CX3+CX10+CX17</f>
        <v>32</v>
      </c>
      <c r="CY31" s="17">
        <f t="shared" si="166"/>
        <v>32</v>
      </c>
      <c r="CZ31" s="17">
        <f t="shared" ref="CZ31:EX31" si="167">CZ3+CZ10+CZ17</f>
        <v>32</v>
      </c>
      <c r="DA31" s="17">
        <f t="shared" si="167"/>
        <v>32</v>
      </c>
      <c r="DB31" s="17">
        <f t="shared" si="167"/>
        <v>32</v>
      </c>
      <c r="DC31" s="17">
        <f t="shared" si="167"/>
        <v>32</v>
      </c>
      <c r="DD31" s="17">
        <f t="shared" si="167"/>
        <v>32</v>
      </c>
      <c r="DE31" s="17">
        <f>DE3+DE10+DE17+DE24</f>
        <v>46.5</v>
      </c>
      <c r="DF31" s="17">
        <f t="shared" ref="DF31:DT31" si="168">DF3+DF10+DF17+DF24</f>
        <v>46.5</v>
      </c>
      <c r="DG31" s="21">
        <f t="shared" si="168"/>
        <v>46.5</v>
      </c>
      <c r="DH31" s="21">
        <f t="shared" si="168"/>
        <v>46.5</v>
      </c>
      <c r="DI31" s="21">
        <f t="shared" si="168"/>
        <v>58.5</v>
      </c>
      <c r="DJ31" s="21">
        <f t="shared" si="168"/>
        <v>58.5</v>
      </c>
      <c r="DK31" s="21">
        <f t="shared" si="168"/>
        <v>58.5</v>
      </c>
      <c r="DL31" s="21">
        <f t="shared" si="168"/>
        <v>71.5</v>
      </c>
      <c r="DM31" s="21">
        <f t="shared" si="168"/>
        <v>70.5</v>
      </c>
      <c r="DN31" s="21">
        <f t="shared" si="168"/>
        <v>67.5</v>
      </c>
      <c r="DO31" s="21">
        <f t="shared" si="168"/>
        <v>71.5</v>
      </c>
      <c r="DP31" s="21">
        <f t="shared" si="168"/>
        <v>71.5</v>
      </c>
      <c r="DQ31" s="21">
        <f t="shared" si="168"/>
        <v>70.5</v>
      </c>
      <c r="DR31" s="21">
        <f t="shared" si="168"/>
        <v>70.5</v>
      </c>
      <c r="DS31" s="21">
        <f t="shared" si="168"/>
        <v>70.5</v>
      </c>
      <c r="DT31" s="21">
        <f t="shared" si="168"/>
        <v>70.5</v>
      </c>
      <c r="DU31" s="21">
        <f t="shared" si="167"/>
        <v>56</v>
      </c>
      <c r="DV31" s="21">
        <f t="shared" si="167"/>
        <v>55</v>
      </c>
      <c r="DW31" s="21">
        <f t="shared" si="167"/>
        <v>55</v>
      </c>
      <c r="DX31" s="21">
        <f t="shared" si="167"/>
        <v>55</v>
      </c>
      <c r="DY31" s="21">
        <f t="shared" si="167"/>
        <v>53</v>
      </c>
      <c r="DZ31" s="21">
        <f t="shared" si="167"/>
        <v>45</v>
      </c>
      <c r="EA31" s="21">
        <f t="shared" si="167"/>
        <v>45</v>
      </c>
      <c r="EB31" s="21">
        <f t="shared" si="167"/>
        <v>45</v>
      </c>
      <c r="EC31" s="21">
        <f t="shared" si="167"/>
        <v>45</v>
      </c>
      <c r="ED31" s="17">
        <f t="shared" si="167"/>
        <v>45</v>
      </c>
      <c r="EE31" s="17">
        <f t="shared" si="167"/>
        <v>45</v>
      </c>
      <c r="EF31" s="17">
        <f t="shared" si="167"/>
        <v>45</v>
      </c>
      <c r="EG31" s="17">
        <f t="shared" si="167"/>
        <v>45</v>
      </c>
      <c r="EH31" s="17">
        <f t="shared" si="167"/>
        <v>45</v>
      </c>
      <c r="EI31" s="17">
        <f t="shared" si="167"/>
        <v>45</v>
      </c>
      <c r="EJ31" s="17">
        <f t="shared" si="167"/>
        <v>45</v>
      </c>
      <c r="EK31" s="17">
        <f t="shared" si="167"/>
        <v>45</v>
      </c>
      <c r="EL31" s="17">
        <f t="shared" si="167"/>
        <v>45</v>
      </c>
      <c r="EM31" s="17">
        <f t="shared" si="167"/>
        <v>45</v>
      </c>
      <c r="EN31" s="17">
        <f t="shared" si="167"/>
        <v>45</v>
      </c>
      <c r="EO31" s="17">
        <f t="shared" si="167"/>
        <v>45</v>
      </c>
      <c r="EP31" s="17">
        <f t="shared" si="167"/>
        <v>45</v>
      </c>
      <c r="EQ31" s="17">
        <f t="shared" si="167"/>
        <v>45</v>
      </c>
      <c r="ER31" s="17">
        <f t="shared" si="167"/>
        <v>45</v>
      </c>
      <c r="ES31" s="17">
        <f t="shared" si="167"/>
        <v>45</v>
      </c>
      <c r="ET31" s="17">
        <f t="shared" si="167"/>
        <v>45</v>
      </c>
      <c r="EU31" s="17">
        <f t="shared" si="167"/>
        <v>32</v>
      </c>
      <c r="EV31" s="17">
        <f t="shared" si="167"/>
        <v>32</v>
      </c>
      <c r="EW31" s="17">
        <f t="shared" si="167"/>
        <v>32</v>
      </c>
      <c r="EX31" s="17">
        <f t="shared" si="167"/>
        <v>32</v>
      </c>
      <c r="EY31" s="17">
        <f t="shared" ref="EY31" si="169">EY3+EY10+EY17</f>
        <v>32</v>
      </c>
    </row>
    <row r="32" spans="1:155" x14ac:dyDescent="0.3">
      <c r="A32" s="36"/>
      <c r="B32" s="36"/>
      <c r="C32" s="38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30</v>
      </c>
      <c r="BU32" s="18">
        <f t="shared" ref="BU32:CW32" si="170">BU4+BU11+BU18</f>
        <v>25</v>
      </c>
      <c r="BV32" s="18">
        <f t="shared" si="170"/>
        <v>23</v>
      </c>
      <c r="BW32" s="22">
        <f t="shared" si="170"/>
        <v>22</v>
      </c>
      <c r="BX32" s="22">
        <f t="shared" si="170"/>
        <v>23.4</v>
      </c>
      <c r="BY32" s="22">
        <f t="shared" si="170"/>
        <v>15</v>
      </c>
      <c r="BZ32" s="22">
        <f t="shared" si="170"/>
        <v>14</v>
      </c>
      <c r="CA32" s="22">
        <f t="shared" si="170"/>
        <v>14</v>
      </c>
      <c r="CB32" s="22">
        <f t="shared" si="170"/>
        <v>14</v>
      </c>
      <c r="CC32" s="22">
        <f t="shared" si="170"/>
        <v>13</v>
      </c>
      <c r="CD32" s="22">
        <f t="shared" si="170"/>
        <v>9.9</v>
      </c>
      <c r="CE32" s="22">
        <f t="shared" si="170"/>
        <v>9.9</v>
      </c>
      <c r="CF32" s="22">
        <f t="shared" si="170"/>
        <v>13</v>
      </c>
      <c r="CG32" s="22">
        <f t="shared" si="170"/>
        <v>27</v>
      </c>
      <c r="CH32" s="22">
        <f t="shared" si="170"/>
        <v>34.4</v>
      </c>
      <c r="CI32" s="22">
        <f t="shared" si="170"/>
        <v>37</v>
      </c>
      <c r="CJ32" s="22">
        <f t="shared" si="170"/>
        <v>35</v>
      </c>
      <c r="CK32" s="22">
        <f t="shared" si="170"/>
        <v>34</v>
      </c>
      <c r="CL32" s="22">
        <f t="shared" si="170"/>
        <v>33</v>
      </c>
      <c r="CM32" s="18">
        <f t="shared" si="170"/>
        <v>33</v>
      </c>
      <c r="CN32" s="18">
        <f t="shared" si="170"/>
        <v>31</v>
      </c>
      <c r="CO32" s="22">
        <f t="shared" si="170"/>
        <v>38</v>
      </c>
      <c r="CP32" s="22">
        <f t="shared" si="170"/>
        <v>37</v>
      </c>
      <c r="CQ32" s="22">
        <f t="shared" si="170"/>
        <v>34</v>
      </c>
      <c r="CR32" s="22">
        <f t="shared" si="170"/>
        <v>35</v>
      </c>
      <c r="CS32" s="22">
        <f t="shared" si="170"/>
        <v>33</v>
      </c>
      <c r="CT32" s="22">
        <f t="shared" si="170"/>
        <v>34</v>
      </c>
      <c r="CU32" s="22">
        <f t="shared" si="170"/>
        <v>32</v>
      </c>
      <c r="CV32" s="22">
        <f t="shared" si="170"/>
        <v>32</v>
      </c>
      <c r="CW32" s="22">
        <f t="shared" si="170"/>
        <v>37</v>
      </c>
      <c r="CX32" s="22">
        <f t="shared" ref="CX32:CY32" si="171">CX4+CX11+CX18</f>
        <v>35</v>
      </c>
      <c r="CY32" s="22">
        <f t="shared" si="171"/>
        <v>34</v>
      </c>
      <c r="CZ32" s="22">
        <f t="shared" ref="CZ32:EX32" si="172">CZ4+CZ11+CZ18</f>
        <v>32</v>
      </c>
      <c r="DA32" s="22">
        <f t="shared" si="172"/>
        <v>32</v>
      </c>
      <c r="DB32" s="22">
        <f t="shared" si="172"/>
        <v>32</v>
      </c>
      <c r="DC32" s="22">
        <f t="shared" si="172"/>
        <v>32</v>
      </c>
      <c r="DD32" s="22">
        <f t="shared" si="172"/>
        <v>32</v>
      </c>
      <c r="DE32" s="22">
        <f>DE4+DE11+DE18+DE25</f>
        <v>55</v>
      </c>
      <c r="DF32" s="22">
        <f t="shared" ref="DF32:DT32" si="173">DF4+DF11+DF18+DF25</f>
        <v>53</v>
      </c>
      <c r="DG32" s="22">
        <f t="shared" si="173"/>
        <v>53</v>
      </c>
      <c r="DH32" s="22">
        <f t="shared" si="173"/>
        <v>50</v>
      </c>
      <c r="DI32" s="22">
        <f t="shared" si="173"/>
        <v>66</v>
      </c>
      <c r="DJ32" s="22">
        <f t="shared" si="173"/>
        <v>68</v>
      </c>
      <c r="DK32" s="22">
        <f t="shared" si="173"/>
        <v>57</v>
      </c>
      <c r="DL32" s="22">
        <f t="shared" si="173"/>
        <v>78</v>
      </c>
      <c r="DM32" s="22">
        <f t="shared" si="173"/>
        <v>86.156999999999996</v>
      </c>
      <c r="DN32" s="22">
        <f t="shared" si="173"/>
        <v>86.525000000000006</v>
      </c>
      <c r="DO32" s="22">
        <f t="shared" si="173"/>
        <v>80.093999999999994</v>
      </c>
      <c r="DP32" s="22">
        <f t="shared" si="173"/>
        <v>78.37</v>
      </c>
      <c r="DQ32" s="22">
        <f t="shared" si="173"/>
        <v>74.542000000000002</v>
      </c>
      <c r="DR32" s="22">
        <f t="shared" si="173"/>
        <v>78.542000000000002</v>
      </c>
      <c r="DS32" s="22">
        <f t="shared" si="173"/>
        <v>74.37</v>
      </c>
      <c r="DT32" s="22">
        <f t="shared" si="173"/>
        <v>75.174999999999997</v>
      </c>
      <c r="DU32" s="22">
        <f t="shared" si="172"/>
        <v>58.174999999999997</v>
      </c>
      <c r="DV32" s="22">
        <f t="shared" si="172"/>
        <v>65.174999999999997</v>
      </c>
      <c r="DW32" s="22">
        <f t="shared" si="172"/>
        <v>65.129000000000005</v>
      </c>
      <c r="DX32" s="22">
        <f t="shared" si="172"/>
        <v>67.129000000000005</v>
      </c>
      <c r="DY32" s="22">
        <f t="shared" si="172"/>
        <v>63.301000000000002</v>
      </c>
      <c r="DZ32" s="22">
        <f t="shared" si="172"/>
        <v>50.395499999999998</v>
      </c>
      <c r="EA32" s="22">
        <f t="shared" si="172"/>
        <v>50.395499999999998</v>
      </c>
      <c r="EB32" s="22">
        <f t="shared" si="172"/>
        <v>57.395499999999998</v>
      </c>
      <c r="EC32" s="22">
        <f t="shared" si="172"/>
        <v>56.395499999999998</v>
      </c>
      <c r="ED32" s="22">
        <f t="shared" si="172"/>
        <v>55.395499999999998</v>
      </c>
      <c r="EE32" s="22">
        <f t="shared" si="172"/>
        <v>53.395499999999998</v>
      </c>
      <c r="EF32" s="22">
        <f t="shared" si="172"/>
        <v>60.965499999999999</v>
      </c>
      <c r="EG32" s="22">
        <f t="shared" si="172"/>
        <v>58.965499999999999</v>
      </c>
      <c r="EH32" s="22">
        <f t="shared" si="172"/>
        <v>56.965499999999999</v>
      </c>
      <c r="EI32" s="22">
        <f t="shared" si="172"/>
        <v>54.965499999999999</v>
      </c>
      <c r="EJ32" s="22">
        <f t="shared" si="172"/>
        <v>52.965499999999999</v>
      </c>
      <c r="EK32" s="22">
        <f t="shared" si="172"/>
        <v>50.965499999999999</v>
      </c>
      <c r="EL32" s="22">
        <f t="shared" si="172"/>
        <v>57.647404000000002</v>
      </c>
      <c r="EM32" s="22">
        <f t="shared" si="172"/>
        <v>55.647404000000002</v>
      </c>
      <c r="EN32" s="22">
        <f t="shared" si="172"/>
        <v>53.647404000000002</v>
      </c>
      <c r="EO32" s="22">
        <f t="shared" si="172"/>
        <v>51.647404000000002</v>
      </c>
      <c r="EP32" s="22">
        <f t="shared" si="172"/>
        <v>49.647404000000002</v>
      </c>
      <c r="EQ32" s="22">
        <f t="shared" si="172"/>
        <v>47.647404000000002</v>
      </c>
      <c r="ER32" s="22">
        <f t="shared" si="172"/>
        <v>54.329308000000005</v>
      </c>
      <c r="ES32" s="22">
        <f t="shared" si="172"/>
        <v>52.329308000000005</v>
      </c>
      <c r="ET32" s="22">
        <f t="shared" si="172"/>
        <v>50.329308000000005</v>
      </c>
      <c r="EU32" s="22">
        <f t="shared" si="172"/>
        <v>31.390215047444443</v>
      </c>
      <c r="EV32" s="22">
        <f t="shared" si="172"/>
        <v>30.390215047444443</v>
      </c>
      <c r="EW32" s="22">
        <f t="shared" si="172"/>
        <v>30.390215047444443</v>
      </c>
      <c r="EX32" s="22">
        <f t="shared" si="172"/>
        <v>29.390215047444443</v>
      </c>
      <c r="EY32" s="22">
        <f t="shared" ref="EY32" si="174">EY4+EY11+EY18</f>
        <v>29.797985047444442</v>
      </c>
    </row>
    <row r="33" spans="1:155" x14ac:dyDescent="0.3">
      <c r="A33" s="36"/>
      <c r="B33" s="36"/>
      <c r="C33" s="38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31</v>
      </c>
      <c r="BU33" s="18">
        <f t="shared" ref="BU33:CW33" si="175">BU5+BU12+BU19</f>
        <v>28</v>
      </c>
      <c r="BV33" s="18">
        <f t="shared" si="175"/>
        <v>26</v>
      </c>
      <c r="BW33" s="22">
        <f t="shared" si="175"/>
        <v>25</v>
      </c>
      <c r="BX33" s="22">
        <f t="shared" si="175"/>
        <v>25.89</v>
      </c>
      <c r="BY33" s="22">
        <f t="shared" si="175"/>
        <v>8.89</v>
      </c>
      <c r="BZ33" s="22">
        <f t="shared" si="175"/>
        <v>11.336975250000002</v>
      </c>
      <c r="CA33" s="22">
        <f t="shared" si="175"/>
        <v>11.336975250000002</v>
      </c>
      <c r="CB33" s="22">
        <f t="shared" si="175"/>
        <v>11.336975250000002</v>
      </c>
      <c r="CC33" s="22">
        <f t="shared" si="175"/>
        <v>13</v>
      </c>
      <c r="CD33" s="22">
        <f t="shared" si="175"/>
        <v>13</v>
      </c>
      <c r="CE33" s="22">
        <f t="shared" si="175"/>
        <v>13</v>
      </c>
      <c r="CF33" s="22">
        <f t="shared" si="175"/>
        <v>13</v>
      </c>
      <c r="CG33" s="22">
        <f t="shared" si="175"/>
        <v>27</v>
      </c>
      <c r="CH33" s="22">
        <f t="shared" si="175"/>
        <v>34.4</v>
      </c>
      <c r="CI33" s="22">
        <f t="shared" si="175"/>
        <v>36</v>
      </c>
      <c r="CJ33" s="22">
        <f t="shared" si="175"/>
        <v>34</v>
      </c>
      <c r="CK33" s="22">
        <f t="shared" si="175"/>
        <v>33</v>
      </c>
      <c r="CL33" s="22">
        <f t="shared" si="175"/>
        <v>32</v>
      </c>
      <c r="CM33" s="18">
        <f t="shared" si="175"/>
        <v>32</v>
      </c>
      <c r="CN33" s="18">
        <f t="shared" si="175"/>
        <v>30</v>
      </c>
      <c r="CO33" s="22">
        <f t="shared" si="175"/>
        <v>37</v>
      </c>
      <c r="CP33" s="22">
        <f t="shared" si="175"/>
        <v>36</v>
      </c>
      <c r="CQ33" s="22">
        <f t="shared" si="175"/>
        <v>35</v>
      </c>
      <c r="CR33" s="22">
        <f t="shared" si="175"/>
        <v>35</v>
      </c>
      <c r="CS33" s="22">
        <f t="shared" si="175"/>
        <v>33</v>
      </c>
      <c r="CT33" s="22">
        <f t="shared" si="175"/>
        <v>34</v>
      </c>
      <c r="CU33" s="22">
        <f t="shared" si="175"/>
        <v>32</v>
      </c>
      <c r="CV33" s="22">
        <f t="shared" si="175"/>
        <v>32</v>
      </c>
      <c r="CW33" s="22">
        <f t="shared" si="175"/>
        <v>37</v>
      </c>
      <c r="CX33" s="22">
        <f t="shared" ref="CX33:CY33" si="176">CX5+CX12+CX19</f>
        <v>35</v>
      </c>
      <c r="CY33" s="22">
        <f t="shared" si="176"/>
        <v>34</v>
      </c>
      <c r="CZ33" s="22">
        <f t="shared" ref="CZ33:EX33" si="177">CZ5+CZ12+CZ19</f>
        <v>32</v>
      </c>
      <c r="DA33" s="22">
        <f t="shared" si="177"/>
        <v>32</v>
      </c>
      <c r="DB33" s="22">
        <f t="shared" si="177"/>
        <v>32</v>
      </c>
      <c r="DC33" s="22">
        <f t="shared" si="177"/>
        <v>32</v>
      </c>
      <c r="DD33" s="22">
        <f t="shared" si="177"/>
        <v>32</v>
      </c>
      <c r="DE33" s="22">
        <f>DE5+DE12+DE19+DE26</f>
        <v>55</v>
      </c>
      <c r="DF33" s="22">
        <f t="shared" ref="DF33:DT33" si="178">DF5+DF12+DF19+DF26</f>
        <v>53</v>
      </c>
      <c r="DG33" s="22">
        <f t="shared" si="178"/>
        <v>53</v>
      </c>
      <c r="DH33" s="22">
        <f t="shared" si="178"/>
        <v>50</v>
      </c>
      <c r="DI33" s="22">
        <f t="shared" si="178"/>
        <v>66</v>
      </c>
      <c r="DJ33" s="22">
        <f t="shared" si="178"/>
        <v>68</v>
      </c>
      <c r="DK33" s="22">
        <f t="shared" si="178"/>
        <v>57</v>
      </c>
      <c r="DL33" s="22">
        <f t="shared" si="178"/>
        <v>78</v>
      </c>
      <c r="DM33" s="22">
        <f t="shared" si="178"/>
        <v>86.156999999999996</v>
      </c>
      <c r="DN33" s="22">
        <f t="shared" si="178"/>
        <v>86.525000000000006</v>
      </c>
      <c r="DO33" s="22">
        <f t="shared" si="178"/>
        <v>80.093999999999994</v>
      </c>
      <c r="DP33" s="22">
        <f t="shared" si="178"/>
        <v>78.37</v>
      </c>
      <c r="DQ33" s="22">
        <f t="shared" si="178"/>
        <v>74.542000000000002</v>
      </c>
      <c r="DR33" s="22">
        <f t="shared" si="178"/>
        <v>78.542000000000002</v>
      </c>
      <c r="DS33" s="22">
        <f t="shared" si="178"/>
        <v>74.37</v>
      </c>
      <c r="DT33" s="22">
        <f t="shared" si="178"/>
        <v>75.174999999999997</v>
      </c>
      <c r="DU33" s="22">
        <f t="shared" si="177"/>
        <v>58.174999999999997</v>
      </c>
      <c r="DV33" s="22">
        <f t="shared" si="177"/>
        <v>65.174999999999997</v>
      </c>
      <c r="DW33" s="22">
        <f t="shared" si="177"/>
        <v>65.129000000000005</v>
      </c>
      <c r="DX33" s="22">
        <f t="shared" si="177"/>
        <v>67.129000000000005</v>
      </c>
      <c r="DY33" s="22">
        <f t="shared" si="177"/>
        <v>63.301000000000002</v>
      </c>
      <c r="DZ33" s="22">
        <f t="shared" si="177"/>
        <v>50.395499999999998</v>
      </c>
      <c r="EA33" s="22">
        <f t="shared" si="177"/>
        <v>50.395499999999998</v>
      </c>
      <c r="EB33" s="22">
        <f t="shared" si="177"/>
        <v>57.395499999999998</v>
      </c>
      <c r="EC33" s="22">
        <f t="shared" si="177"/>
        <v>56.395499999999998</v>
      </c>
      <c r="ED33" s="22">
        <f t="shared" si="177"/>
        <v>55.395499999999998</v>
      </c>
      <c r="EE33" s="22">
        <f t="shared" si="177"/>
        <v>53.395499999999998</v>
      </c>
      <c r="EF33" s="22">
        <f t="shared" si="177"/>
        <v>60.965499999999999</v>
      </c>
      <c r="EG33" s="22">
        <f t="shared" si="177"/>
        <v>58.965499999999999</v>
      </c>
      <c r="EH33" s="22">
        <f t="shared" si="177"/>
        <v>56.965499999999999</v>
      </c>
      <c r="EI33" s="22">
        <f t="shared" si="177"/>
        <v>54.965499999999999</v>
      </c>
      <c r="EJ33" s="22">
        <f t="shared" si="177"/>
        <v>52.965499999999999</v>
      </c>
      <c r="EK33" s="22">
        <f t="shared" si="177"/>
        <v>50.965499999999999</v>
      </c>
      <c r="EL33" s="22">
        <f t="shared" si="177"/>
        <v>57.647404000000002</v>
      </c>
      <c r="EM33" s="22">
        <f t="shared" si="177"/>
        <v>55.647404000000002</v>
      </c>
      <c r="EN33" s="22">
        <f t="shared" si="177"/>
        <v>53.647404000000002</v>
      </c>
      <c r="EO33" s="22">
        <f t="shared" si="177"/>
        <v>51.647404000000002</v>
      </c>
      <c r="EP33" s="22">
        <f t="shared" si="177"/>
        <v>49.647404000000002</v>
      </c>
      <c r="EQ33" s="22">
        <f t="shared" si="177"/>
        <v>47.647404000000002</v>
      </c>
      <c r="ER33" s="22">
        <f t="shared" si="177"/>
        <v>54.329308000000005</v>
      </c>
      <c r="ES33" s="22">
        <f t="shared" si="177"/>
        <v>52.329308000000005</v>
      </c>
      <c r="ET33" s="22">
        <f t="shared" si="177"/>
        <v>50.329308000000005</v>
      </c>
      <c r="EU33" s="22">
        <f t="shared" si="177"/>
        <v>31.390215047444443</v>
      </c>
      <c r="EV33" s="22">
        <f t="shared" si="177"/>
        <v>30.390215047444443</v>
      </c>
      <c r="EW33" s="22">
        <f t="shared" si="177"/>
        <v>30.390215047444443</v>
      </c>
      <c r="EX33" s="22">
        <f t="shared" si="177"/>
        <v>29.390215047444443</v>
      </c>
      <c r="EY33" s="22">
        <f t="shared" ref="EY33" si="179">EY5+EY12+EY19</f>
        <v>29.797985047444442</v>
      </c>
    </row>
    <row r="34" spans="1:155" x14ac:dyDescent="0.3">
      <c r="A34" s="36"/>
      <c r="B34" s="36"/>
      <c r="C34" s="38"/>
      <c r="D34" s="15" t="s">
        <v>16</v>
      </c>
      <c r="E34" s="19" t="e">
        <f t="shared" ref="E34:BP34" si="180">E32/E30</f>
        <v>#DIV/0!</v>
      </c>
      <c r="F34" s="19" t="e">
        <f t="shared" si="180"/>
        <v>#DIV/0!</v>
      </c>
      <c r="G34" s="19" t="e">
        <f t="shared" si="180"/>
        <v>#DIV/0!</v>
      </c>
      <c r="H34" s="19" t="e">
        <f t="shared" si="180"/>
        <v>#DIV/0!</v>
      </c>
      <c r="I34" s="19" t="e">
        <f t="shared" si="180"/>
        <v>#DIV/0!</v>
      </c>
      <c r="J34" s="19" t="e">
        <f t="shared" si="180"/>
        <v>#DIV/0!</v>
      </c>
      <c r="K34" s="19" t="e">
        <f t="shared" si="180"/>
        <v>#DIV/0!</v>
      </c>
      <c r="L34" s="19" t="e">
        <f t="shared" si="180"/>
        <v>#DIV/0!</v>
      </c>
      <c r="M34" s="19" t="e">
        <f t="shared" si="180"/>
        <v>#DIV/0!</v>
      </c>
      <c r="N34" s="19" t="e">
        <f t="shared" si="180"/>
        <v>#DIV/0!</v>
      </c>
      <c r="O34" s="19" t="e">
        <f t="shared" si="180"/>
        <v>#DIV/0!</v>
      </c>
      <c r="P34" s="19" t="e">
        <f t="shared" si="180"/>
        <v>#DIV/0!</v>
      </c>
      <c r="Q34" s="19" t="e">
        <f t="shared" si="180"/>
        <v>#DIV/0!</v>
      </c>
      <c r="R34" s="19" t="e">
        <f t="shared" si="180"/>
        <v>#DIV/0!</v>
      </c>
      <c r="S34" s="19" t="e">
        <f t="shared" si="180"/>
        <v>#DIV/0!</v>
      </c>
      <c r="T34" s="19" t="e">
        <f t="shared" si="180"/>
        <v>#DIV/0!</v>
      </c>
      <c r="U34" s="19" t="e">
        <f t="shared" si="180"/>
        <v>#DIV/0!</v>
      </c>
      <c r="V34" s="19" t="e">
        <f t="shared" si="180"/>
        <v>#DIV/0!</v>
      </c>
      <c r="W34" s="19" t="e">
        <f t="shared" si="180"/>
        <v>#DIV/0!</v>
      </c>
      <c r="X34" s="19" t="e">
        <f t="shared" si="180"/>
        <v>#DIV/0!</v>
      </c>
      <c r="Y34" s="19" t="e">
        <f t="shared" si="180"/>
        <v>#DIV/0!</v>
      </c>
      <c r="Z34" s="19" t="e">
        <f t="shared" si="180"/>
        <v>#DIV/0!</v>
      </c>
      <c r="AA34" s="19" t="e">
        <f t="shared" si="180"/>
        <v>#DIV/0!</v>
      </c>
      <c r="AB34" s="19" t="e">
        <f t="shared" si="180"/>
        <v>#DIV/0!</v>
      </c>
      <c r="AC34" s="19" t="e">
        <f t="shared" si="180"/>
        <v>#DIV/0!</v>
      </c>
      <c r="AD34" s="19" t="e">
        <f t="shared" si="180"/>
        <v>#DIV/0!</v>
      </c>
      <c r="AE34" s="19" t="e">
        <f t="shared" si="180"/>
        <v>#DIV/0!</v>
      </c>
      <c r="AF34" s="19" t="e">
        <f t="shared" si="180"/>
        <v>#DIV/0!</v>
      </c>
      <c r="AG34" s="19" t="e">
        <f t="shared" si="180"/>
        <v>#DIV/0!</v>
      </c>
      <c r="AH34" s="19" t="e">
        <f t="shared" si="180"/>
        <v>#DIV/0!</v>
      </c>
      <c r="AI34" s="19" t="e">
        <f t="shared" si="180"/>
        <v>#DIV/0!</v>
      </c>
      <c r="AJ34" s="19" t="e">
        <f t="shared" si="180"/>
        <v>#DIV/0!</v>
      </c>
      <c r="AK34" s="19" t="e">
        <f t="shared" si="180"/>
        <v>#DIV/0!</v>
      </c>
      <c r="AL34" s="19" t="e">
        <f t="shared" si="180"/>
        <v>#DIV/0!</v>
      </c>
      <c r="AM34" s="19" t="e">
        <f t="shared" si="180"/>
        <v>#DIV/0!</v>
      </c>
      <c r="AN34" s="19" t="e">
        <f t="shared" si="180"/>
        <v>#DIV/0!</v>
      </c>
      <c r="AO34" s="19" t="e">
        <f t="shared" si="180"/>
        <v>#DIV/0!</v>
      </c>
      <c r="AP34" s="19" t="e">
        <f t="shared" si="180"/>
        <v>#DIV/0!</v>
      </c>
      <c r="AQ34" s="19" t="e">
        <f t="shared" si="180"/>
        <v>#DIV/0!</v>
      </c>
      <c r="AR34" s="19" t="e">
        <f t="shared" si="180"/>
        <v>#DIV/0!</v>
      </c>
      <c r="AS34" s="19" t="e">
        <f t="shared" si="180"/>
        <v>#DIV/0!</v>
      </c>
      <c r="AT34" s="19" t="e">
        <f t="shared" si="180"/>
        <v>#DIV/0!</v>
      </c>
      <c r="AU34" s="19" t="e">
        <f t="shared" si="180"/>
        <v>#DIV/0!</v>
      </c>
      <c r="AV34" s="19" t="e">
        <f t="shared" si="180"/>
        <v>#DIV/0!</v>
      </c>
      <c r="AW34" s="19" t="e">
        <f t="shared" si="180"/>
        <v>#DIV/0!</v>
      </c>
      <c r="AX34" s="19" t="e">
        <f t="shared" si="180"/>
        <v>#DIV/0!</v>
      </c>
      <c r="AY34" s="19" t="e">
        <f t="shared" si="180"/>
        <v>#DIV/0!</v>
      </c>
      <c r="AZ34" s="19" t="e">
        <f t="shared" si="180"/>
        <v>#DIV/0!</v>
      </c>
      <c r="BA34" s="19" t="e">
        <f t="shared" si="180"/>
        <v>#DIV/0!</v>
      </c>
      <c r="BB34" s="19" t="e">
        <f t="shared" si="180"/>
        <v>#DIV/0!</v>
      </c>
      <c r="BC34" s="19" t="e">
        <f t="shared" si="180"/>
        <v>#DIV/0!</v>
      </c>
      <c r="BD34" s="19" t="e">
        <f t="shared" si="180"/>
        <v>#DIV/0!</v>
      </c>
      <c r="BE34" s="19" t="e">
        <f t="shared" si="180"/>
        <v>#DIV/0!</v>
      </c>
      <c r="BF34" s="19" t="e">
        <f t="shared" si="180"/>
        <v>#DIV/0!</v>
      </c>
      <c r="BG34" s="19" t="e">
        <f t="shared" si="180"/>
        <v>#DIV/0!</v>
      </c>
      <c r="BH34" s="19" t="e">
        <f t="shared" si="180"/>
        <v>#DIV/0!</v>
      </c>
      <c r="BI34" s="19" t="e">
        <f t="shared" si="180"/>
        <v>#DIV/0!</v>
      </c>
      <c r="BJ34" s="19" t="e">
        <f t="shared" si="180"/>
        <v>#DIV/0!</v>
      </c>
      <c r="BK34" s="19" t="e">
        <f t="shared" si="180"/>
        <v>#DIV/0!</v>
      </c>
      <c r="BL34" s="19" t="e">
        <f t="shared" si="180"/>
        <v>#DIV/0!</v>
      </c>
      <c r="BM34" s="19" t="e">
        <f t="shared" si="180"/>
        <v>#DIV/0!</v>
      </c>
      <c r="BN34" s="19" t="e">
        <f t="shared" si="180"/>
        <v>#DIV/0!</v>
      </c>
      <c r="BO34" s="19" t="e">
        <f t="shared" si="180"/>
        <v>#DIV/0!</v>
      </c>
      <c r="BP34" s="19" t="e">
        <f t="shared" si="180"/>
        <v>#DIV/0!</v>
      </c>
      <c r="BQ34" s="19" t="e">
        <f t="shared" ref="BQ34:CW34" si="181">BQ32/BQ30</f>
        <v>#DIV/0!</v>
      </c>
      <c r="BR34" s="19" t="e">
        <f t="shared" si="181"/>
        <v>#DIV/0!</v>
      </c>
      <c r="BS34" s="19" t="e">
        <f t="shared" si="181"/>
        <v>#DIV/0!</v>
      </c>
      <c r="BT34" s="19" t="e">
        <f t="shared" si="181"/>
        <v>#DIV/0!</v>
      </c>
      <c r="BU34" s="19" t="e">
        <f t="shared" si="181"/>
        <v>#DIV/0!</v>
      </c>
      <c r="BV34" s="19" t="e">
        <f t="shared" si="181"/>
        <v>#DIV/0!</v>
      </c>
      <c r="BW34" s="19" t="e">
        <f t="shared" si="181"/>
        <v>#DIV/0!</v>
      </c>
      <c r="BX34" s="19" t="e">
        <f t="shared" si="181"/>
        <v>#DIV/0!</v>
      </c>
      <c r="BY34" s="19" t="e">
        <f t="shared" si="181"/>
        <v>#DIV/0!</v>
      </c>
      <c r="BZ34" s="19" t="e">
        <f t="shared" si="181"/>
        <v>#DIV/0!</v>
      </c>
      <c r="CA34" s="19" t="e">
        <f t="shared" si="181"/>
        <v>#DIV/0!</v>
      </c>
      <c r="CB34" s="19" t="e">
        <f t="shared" si="181"/>
        <v>#DIV/0!</v>
      </c>
      <c r="CC34" s="19" t="e">
        <f t="shared" si="181"/>
        <v>#DIV/0!</v>
      </c>
      <c r="CD34" s="19" t="e">
        <f t="shared" si="181"/>
        <v>#DIV/0!</v>
      </c>
      <c r="CE34" s="19" t="e">
        <f t="shared" si="181"/>
        <v>#DIV/0!</v>
      </c>
      <c r="CF34" s="19" t="e">
        <f t="shared" si="181"/>
        <v>#DIV/0!</v>
      </c>
      <c r="CG34" s="19" t="e">
        <f t="shared" si="181"/>
        <v>#DIV/0!</v>
      </c>
      <c r="CH34" s="19" t="e">
        <f t="shared" si="181"/>
        <v>#DIV/0!</v>
      </c>
      <c r="CI34" s="19" t="e">
        <f t="shared" si="181"/>
        <v>#DIV/0!</v>
      </c>
      <c r="CJ34" s="19" t="e">
        <f t="shared" si="181"/>
        <v>#DIV/0!</v>
      </c>
      <c r="CK34" s="19" t="e">
        <f t="shared" si="181"/>
        <v>#DIV/0!</v>
      </c>
      <c r="CL34" s="19" t="e">
        <f t="shared" si="181"/>
        <v>#DIV/0!</v>
      </c>
      <c r="CM34" s="19" t="e">
        <f t="shared" si="181"/>
        <v>#DIV/0!</v>
      </c>
      <c r="CN34" s="19" t="e">
        <f t="shared" si="181"/>
        <v>#DIV/0!</v>
      </c>
      <c r="CO34" s="19" t="e">
        <f t="shared" si="181"/>
        <v>#DIV/0!</v>
      </c>
      <c r="CP34" s="19" t="e">
        <f t="shared" si="181"/>
        <v>#DIV/0!</v>
      </c>
      <c r="CQ34" s="19" t="e">
        <f t="shared" si="181"/>
        <v>#DIV/0!</v>
      </c>
      <c r="CR34" s="19" t="e">
        <f t="shared" si="181"/>
        <v>#DIV/0!</v>
      </c>
      <c r="CS34" s="19" t="e">
        <f t="shared" si="181"/>
        <v>#DIV/0!</v>
      </c>
      <c r="CT34" s="19" t="e">
        <f t="shared" si="181"/>
        <v>#DIV/0!</v>
      </c>
      <c r="CU34" s="19" t="e">
        <f t="shared" si="181"/>
        <v>#DIV/0!</v>
      </c>
      <c r="CV34" s="19" t="e">
        <f t="shared" si="181"/>
        <v>#DIV/0!</v>
      </c>
      <c r="CW34" s="19" t="e">
        <f t="shared" si="181"/>
        <v>#DIV/0!</v>
      </c>
      <c r="CX34" s="19" t="e">
        <f t="shared" ref="CX34:CY34" si="182">CX32/CX30</f>
        <v>#DIV/0!</v>
      </c>
      <c r="CY34" s="19" t="e">
        <f t="shared" si="182"/>
        <v>#DIV/0!</v>
      </c>
      <c r="CZ34" s="19" t="e">
        <f t="shared" ref="CZ34:EX34" si="183">CZ32/CZ30</f>
        <v>#DIV/0!</v>
      </c>
      <c r="DA34" s="19" t="e">
        <f t="shared" si="183"/>
        <v>#DIV/0!</v>
      </c>
      <c r="DB34" s="19" t="e">
        <f t="shared" si="183"/>
        <v>#DIV/0!</v>
      </c>
      <c r="DC34" s="19" t="e">
        <f t="shared" si="183"/>
        <v>#DIV/0!</v>
      </c>
      <c r="DD34" s="19" t="e">
        <f t="shared" si="183"/>
        <v>#DIV/0!</v>
      </c>
      <c r="DE34" s="19" t="e">
        <f t="shared" si="183"/>
        <v>#DIV/0!</v>
      </c>
      <c r="DF34" s="19" t="e">
        <f t="shared" si="183"/>
        <v>#DIV/0!</v>
      </c>
      <c r="DG34" s="19" t="e">
        <f t="shared" si="183"/>
        <v>#DIV/0!</v>
      </c>
      <c r="DH34" s="19" t="e">
        <f t="shared" si="183"/>
        <v>#DIV/0!</v>
      </c>
      <c r="DI34" s="19" t="e">
        <f t="shared" si="183"/>
        <v>#DIV/0!</v>
      </c>
      <c r="DJ34" s="19" t="e">
        <f t="shared" si="183"/>
        <v>#DIV/0!</v>
      </c>
      <c r="DK34" s="19" t="e">
        <f t="shared" si="183"/>
        <v>#DIV/0!</v>
      </c>
      <c r="DL34" s="19" t="e">
        <f t="shared" si="183"/>
        <v>#DIV/0!</v>
      </c>
      <c r="DM34" s="19" t="e">
        <f t="shared" si="183"/>
        <v>#DIV/0!</v>
      </c>
      <c r="DN34" s="19" t="e">
        <f t="shared" si="183"/>
        <v>#DIV/0!</v>
      </c>
      <c r="DO34" s="19" t="e">
        <f t="shared" si="183"/>
        <v>#DIV/0!</v>
      </c>
      <c r="DP34" s="19" t="e">
        <f t="shared" si="183"/>
        <v>#DIV/0!</v>
      </c>
      <c r="DQ34" s="19" t="e">
        <f t="shared" si="183"/>
        <v>#DIV/0!</v>
      </c>
      <c r="DR34" s="19" t="e">
        <f t="shared" si="183"/>
        <v>#DIV/0!</v>
      </c>
      <c r="DS34" s="19" t="e">
        <f t="shared" si="183"/>
        <v>#DIV/0!</v>
      </c>
      <c r="DT34" s="19" t="e">
        <f t="shared" si="183"/>
        <v>#DIV/0!</v>
      </c>
      <c r="DU34" s="19" t="e">
        <f t="shared" si="183"/>
        <v>#DIV/0!</v>
      </c>
      <c r="DV34" s="19" t="e">
        <f t="shared" si="183"/>
        <v>#DIV/0!</v>
      </c>
      <c r="DW34" s="19" t="e">
        <f t="shared" si="183"/>
        <v>#DIV/0!</v>
      </c>
      <c r="DX34" s="19" t="e">
        <f t="shared" si="183"/>
        <v>#DIV/0!</v>
      </c>
      <c r="DY34" s="19" t="e">
        <f t="shared" si="183"/>
        <v>#DIV/0!</v>
      </c>
      <c r="DZ34" s="19" t="e">
        <f t="shared" si="183"/>
        <v>#DIV/0!</v>
      </c>
      <c r="EA34" s="19" t="e">
        <f t="shared" si="183"/>
        <v>#DIV/0!</v>
      </c>
      <c r="EB34" s="19" t="e">
        <f t="shared" si="183"/>
        <v>#DIV/0!</v>
      </c>
      <c r="EC34" s="19" t="e">
        <f t="shared" si="183"/>
        <v>#DIV/0!</v>
      </c>
      <c r="ED34" s="19" t="e">
        <f t="shared" si="183"/>
        <v>#DIV/0!</v>
      </c>
      <c r="EE34" s="19" t="e">
        <f t="shared" si="183"/>
        <v>#DIV/0!</v>
      </c>
      <c r="EF34" s="19" t="e">
        <f t="shared" si="183"/>
        <v>#DIV/0!</v>
      </c>
      <c r="EG34" s="19" t="e">
        <f t="shared" si="183"/>
        <v>#DIV/0!</v>
      </c>
      <c r="EH34" s="19" t="e">
        <f t="shared" si="183"/>
        <v>#DIV/0!</v>
      </c>
      <c r="EI34" s="19" t="e">
        <f t="shared" si="183"/>
        <v>#DIV/0!</v>
      </c>
      <c r="EJ34" s="19" t="e">
        <f t="shared" si="183"/>
        <v>#DIV/0!</v>
      </c>
      <c r="EK34" s="19" t="e">
        <f t="shared" si="183"/>
        <v>#DIV/0!</v>
      </c>
      <c r="EL34" s="19" t="e">
        <f t="shared" si="183"/>
        <v>#DIV/0!</v>
      </c>
      <c r="EM34" s="19" t="e">
        <f t="shared" si="183"/>
        <v>#DIV/0!</v>
      </c>
      <c r="EN34" s="19" t="e">
        <f t="shared" si="183"/>
        <v>#DIV/0!</v>
      </c>
      <c r="EO34" s="19" t="e">
        <f t="shared" si="183"/>
        <v>#DIV/0!</v>
      </c>
      <c r="EP34" s="19" t="e">
        <f t="shared" si="183"/>
        <v>#DIV/0!</v>
      </c>
      <c r="EQ34" s="19" t="e">
        <f t="shared" si="183"/>
        <v>#DIV/0!</v>
      </c>
      <c r="ER34" s="19" t="e">
        <f t="shared" si="183"/>
        <v>#DIV/0!</v>
      </c>
      <c r="ES34" s="19" t="e">
        <f t="shared" si="183"/>
        <v>#DIV/0!</v>
      </c>
      <c r="ET34" s="19" t="e">
        <f t="shared" si="183"/>
        <v>#DIV/0!</v>
      </c>
      <c r="EU34" s="19" t="e">
        <f t="shared" si="183"/>
        <v>#DIV/0!</v>
      </c>
      <c r="EV34" s="19" t="e">
        <f t="shared" si="183"/>
        <v>#DIV/0!</v>
      </c>
      <c r="EW34" s="19" t="e">
        <f t="shared" si="183"/>
        <v>#DIV/0!</v>
      </c>
      <c r="EX34" s="19" t="e">
        <f t="shared" si="183"/>
        <v>#DIV/0!</v>
      </c>
      <c r="EY34" s="19" t="e">
        <f t="shared" ref="EY34" si="184">EY32/EY30</f>
        <v>#DIV/0!</v>
      </c>
    </row>
    <row r="35" spans="1:155" x14ac:dyDescent="0.3">
      <c r="A35" s="36"/>
      <c r="B35" s="36"/>
      <c r="C35" s="39"/>
      <c r="D35" s="15" t="s">
        <v>17</v>
      </c>
      <c r="E35" s="20" t="e">
        <f>E32/E31</f>
        <v>#DIV/0!</v>
      </c>
      <c r="F35" s="20" t="e">
        <f t="shared" ref="F35:AA35" si="185">F32/F31</f>
        <v>#DIV/0!</v>
      </c>
      <c r="G35" s="20" t="e">
        <f t="shared" si="185"/>
        <v>#DIV/0!</v>
      </c>
      <c r="H35" s="20" t="e">
        <f t="shared" si="185"/>
        <v>#DIV/0!</v>
      </c>
      <c r="I35" s="20" t="e">
        <f t="shared" si="185"/>
        <v>#DIV/0!</v>
      </c>
      <c r="J35" s="20" t="e">
        <f t="shared" si="185"/>
        <v>#DIV/0!</v>
      </c>
      <c r="K35" s="20" t="e">
        <f t="shared" si="185"/>
        <v>#DIV/0!</v>
      </c>
      <c r="L35" s="20" t="e">
        <f t="shared" si="185"/>
        <v>#DIV/0!</v>
      </c>
      <c r="M35" s="20" t="e">
        <f t="shared" si="185"/>
        <v>#DIV/0!</v>
      </c>
      <c r="N35" s="20" t="e">
        <f t="shared" si="185"/>
        <v>#DIV/0!</v>
      </c>
      <c r="O35" s="20" t="e">
        <f t="shared" si="185"/>
        <v>#DIV/0!</v>
      </c>
      <c r="P35" s="20" t="e">
        <f t="shared" si="185"/>
        <v>#DIV/0!</v>
      </c>
      <c r="Q35" s="20" t="e">
        <f t="shared" si="185"/>
        <v>#DIV/0!</v>
      </c>
      <c r="R35" s="20" t="e">
        <f t="shared" si="185"/>
        <v>#DIV/0!</v>
      </c>
      <c r="S35" s="20" t="e">
        <f t="shared" si="185"/>
        <v>#DIV/0!</v>
      </c>
      <c r="T35" s="20" t="e">
        <f t="shared" si="185"/>
        <v>#DIV/0!</v>
      </c>
      <c r="U35" s="20" t="e">
        <f t="shared" si="185"/>
        <v>#DIV/0!</v>
      </c>
      <c r="V35" s="20" t="e">
        <f t="shared" si="185"/>
        <v>#DIV/0!</v>
      </c>
      <c r="W35" s="20" t="e">
        <f t="shared" si="185"/>
        <v>#DIV/0!</v>
      </c>
      <c r="X35" s="20" t="e">
        <f t="shared" si="185"/>
        <v>#DIV/0!</v>
      </c>
      <c r="Y35" s="20" t="e">
        <f t="shared" si="185"/>
        <v>#DIV/0!</v>
      </c>
      <c r="Z35" s="20" t="e">
        <f t="shared" si="185"/>
        <v>#DIV/0!</v>
      </c>
      <c r="AA35" s="20" t="e">
        <f t="shared" si="185"/>
        <v>#DIV/0!</v>
      </c>
      <c r="AB35" s="20" t="e">
        <f>AB33/AB31</f>
        <v>#DIV/0!</v>
      </c>
      <c r="AC35" s="20" t="e">
        <f t="shared" ref="AC35:AL35" si="186">AC33/AC31</f>
        <v>#DIV/0!</v>
      </c>
      <c r="AD35" s="20" t="e">
        <f t="shared" si="186"/>
        <v>#DIV/0!</v>
      </c>
      <c r="AE35" s="20" t="e">
        <f t="shared" si="186"/>
        <v>#DIV/0!</v>
      </c>
      <c r="AF35" s="20" t="e">
        <f t="shared" si="186"/>
        <v>#DIV/0!</v>
      </c>
      <c r="AG35" s="20" t="e">
        <f t="shared" si="186"/>
        <v>#DIV/0!</v>
      </c>
      <c r="AH35" s="20" t="e">
        <f t="shared" si="186"/>
        <v>#DIV/0!</v>
      </c>
      <c r="AI35" s="20" t="e">
        <f t="shared" si="186"/>
        <v>#DIV/0!</v>
      </c>
      <c r="AJ35" s="20" t="e">
        <f t="shared" si="186"/>
        <v>#DIV/0!</v>
      </c>
      <c r="AK35" s="20" t="e">
        <f t="shared" si="186"/>
        <v>#DIV/0!</v>
      </c>
      <c r="AL35" s="20" t="e">
        <f t="shared" si="186"/>
        <v>#DIV/0!</v>
      </c>
      <c r="AM35" s="20" t="e">
        <f>AM33/AM31</f>
        <v>#DIV/0!</v>
      </c>
      <c r="AN35" s="20" t="e">
        <f t="shared" ref="AN35:AR35" si="187">AN33/AN31</f>
        <v>#DIV/0!</v>
      </c>
      <c r="AO35" s="20" t="e">
        <f t="shared" si="187"/>
        <v>#DIV/0!</v>
      </c>
      <c r="AP35" s="20" t="e">
        <f t="shared" si="187"/>
        <v>#DIV/0!</v>
      </c>
      <c r="AQ35" s="20" t="e">
        <f t="shared" si="187"/>
        <v>#DIV/0!</v>
      </c>
      <c r="AR35" s="20" t="e">
        <f t="shared" si="187"/>
        <v>#DIV/0!</v>
      </c>
      <c r="AS35" s="20" t="e">
        <f t="shared" ref="AS35:CW35" si="188">AS32/AS31</f>
        <v>#DIV/0!</v>
      </c>
      <c r="AT35" s="20" t="e">
        <f t="shared" si="188"/>
        <v>#DIV/0!</v>
      </c>
      <c r="AU35" s="20" t="e">
        <f t="shared" si="188"/>
        <v>#DIV/0!</v>
      </c>
      <c r="AV35" s="20" t="e">
        <f t="shared" si="188"/>
        <v>#DIV/0!</v>
      </c>
      <c r="AW35" s="20" t="e">
        <f t="shared" si="188"/>
        <v>#DIV/0!</v>
      </c>
      <c r="AX35" s="20" t="e">
        <f t="shared" si="188"/>
        <v>#DIV/0!</v>
      </c>
      <c r="AY35" s="20" t="e">
        <f t="shared" si="188"/>
        <v>#DIV/0!</v>
      </c>
      <c r="AZ35" s="20" t="e">
        <f t="shared" si="188"/>
        <v>#DIV/0!</v>
      </c>
      <c r="BA35" s="20" t="e">
        <f t="shared" si="188"/>
        <v>#DIV/0!</v>
      </c>
      <c r="BB35" s="20" t="e">
        <f t="shared" si="188"/>
        <v>#DIV/0!</v>
      </c>
      <c r="BC35" s="20" t="e">
        <f t="shared" si="188"/>
        <v>#DIV/0!</v>
      </c>
      <c r="BD35" s="20" t="e">
        <f t="shared" si="188"/>
        <v>#DIV/0!</v>
      </c>
      <c r="BE35" s="20" t="e">
        <f t="shared" si="188"/>
        <v>#DIV/0!</v>
      </c>
      <c r="BF35" s="20" t="e">
        <f t="shared" si="188"/>
        <v>#DIV/0!</v>
      </c>
      <c r="BG35" s="20" t="e">
        <f t="shared" si="188"/>
        <v>#DIV/0!</v>
      </c>
      <c r="BH35" s="20" t="e">
        <f t="shared" si="188"/>
        <v>#DIV/0!</v>
      </c>
      <c r="BI35" s="20" t="e">
        <f t="shared" si="188"/>
        <v>#DIV/0!</v>
      </c>
      <c r="BJ35" s="20" t="e">
        <f t="shared" si="188"/>
        <v>#DIV/0!</v>
      </c>
      <c r="BK35" s="20" t="e">
        <f t="shared" si="188"/>
        <v>#DIV/0!</v>
      </c>
      <c r="BL35" s="20" t="e">
        <f t="shared" si="188"/>
        <v>#DIV/0!</v>
      </c>
      <c r="BM35" s="20" t="e">
        <f t="shared" si="188"/>
        <v>#DIV/0!</v>
      </c>
      <c r="BN35" s="20" t="e">
        <f t="shared" si="188"/>
        <v>#DIV/0!</v>
      </c>
      <c r="BO35" s="20" t="e">
        <f t="shared" si="188"/>
        <v>#DIV/0!</v>
      </c>
      <c r="BP35" s="20" t="e">
        <f t="shared" si="188"/>
        <v>#DIV/0!</v>
      </c>
      <c r="BQ35" s="20" t="e">
        <f t="shared" si="188"/>
        <v>#DIV/0!</v>
      </c>
      <c r="BR35" s="20" t="e">
        <f t="shared" si="188"/>
        <v>#DIV/0!</v>
      </c>
      <c r="BS35" s="20" t="e">
        <f t="shared" si="188"/>
        <v>#DIV/0!</v>
      </c>
      <c r="BT35" s="20">
        <f t="shared" si="188"/>
        <v>0.90909090909090906</v>
      </c>
      <c r="BU35" s="20">
        <f t="shared" si="188"/>
        <v>0.83333333333333337</v>
      </c>
      <c r="BV35" s="20">
        <f t="shared" si="188"/>
        <v>0.71875</v>
      </c>
      <c r="BW35" s="20">
        <f t="shared" si="188"/>
        <v>0.6875</v>
      </c>
      <c r="BX35" s="20">
        <f t="shared" si="188"/>
        <v>1.2315789473684209</v>
      </c>
      <c r="BY35" s="20">
        <f t="shared" si="188"/>
        <v>1.5</v>
      </c>
      <c r="BZ35" s="20">
        <f t="shared" si="188"/>
        <v>1.4</v>
      </c>
      <c r="CA35" s="20">
        <f t="shared" si="188"/>
        <v>1.4</v>
      </c>
      <c r="CB35" s="20">
        <f t="shared" si="188"/>
        <v>1.5555555555555556</v>
      </c>
      <c r="CC35" s="20">
        <f t="shared" si="188"/>
        <v>1.4444444444444444</v>
      </c>
      <c r="CD35" s="20">
        <f t="shared" si="188"/>
        <v>1.1000000000000001</v>
      </c>
      <c r="CE35" s="20">
        <f t="shared" si="188"/>
        <v>1.1000000000000001</v>
      </c>
      <c r="CF35" s="20">
        <f t="shared" si="188"/>
        <v>1.4444444444444444</v>
      </c>
      <c r="CG35" s="20">
        <f t="shared" si="188"/>
        <v>0.77142857142857146</v>
      </c>
      <c r="CH35" s="20">
        <f t="shared" si="188"/>
        <v>0.98285714285714276</v>
      </c>
      <c r="CI35" s="20">
        <f t="shared" si="188"/>
        <v>1.15625</v>
      </c>
      <c r="CJ35" s="20">
        <f t="shared" si="188"/>
        <v>1.09375</v>
      </c>
      <c r="CK35" s="20">
        <f t="shared" si="188"/>
        <v>1.0625</v>
      </c>
      <c r="CL35" s="20">
        <f t="shared" si="188"/>
        <v>1.03125</v>
      </c>
      <c r="CM35" s="20">
        <f t="shared" si="188"/>
        <v>1.03125</v>
      </c>
      <c r="CN35" s="20">
        <f t="shared" si="188"/>
        <v>0.96875</v>
      </c>
      <c r="CO35" s="20">
        <f t="shared" si="188"/>
        <v>1.1875</v>
      </c>
      <c r="CP35" s="20">
        <f t="shared" si="188"/>
        <v>1.15625</v>
      </c>
      <c r="CQ35" s="20">
        <f t="shared" si="188"/>
        <v>1.0625</v>
      </c>
      <c r="CR35" s="20">
        <f t="shared" si="188"/>
        <v>1.09375</v>
      </c>
      <c r="CS35" s="20">
        <f t="shared" si="188"/>
        <v>1.03125</v>
      </c>
      <c r="CT35" s="20">
        <f t="shared" si="188"/>
        <v>1.0625</v>
      </c>
      <c r="CU35" s="20">
        <f t="shared" si="188"/>
        <v>1</v>
      </c>
      <c r="CV35" s="20">
        <f t="shared" si="188"/>
        <v>1</v>
      </c>
      <c r="CW35" s="20">
        <f t="shared" si="188"/>
        <v>1.15625</v>
      </c>
      <c r="CX35" s="20">
        <f t="shared" ref="CX35:CY35" si="189">CX32/CX31</f>
        <v>1.09375</v>
      </c>
      <c r="CY35" s="20">
        <f t="shared" si="189"/>
        <v>1.0625</v>
      </c>
      <c r="CZ35" s="20">
        <f t="shared" ref="CZ35:EX35" si="190">CZ32/CZ31</f>
        <v>1</v>
      </c>
      <c r="DA35" s="20">
        <f t="shared" si="190"/>
        <v>1</v>
      </c>
      <c r="DB35" s="20">
        <f t="shared" si="190"/>
        <v>1</v>
      </c>
      <c r="DC35" s="20">
        <f t="shared" si="190"/>
        <v>1</v>
      </c>
      <c r="DD35" s="20">
        <f t="shared" si="190"/>
        <v>1</v>
      </c>
      <c r="DE35" s="20">
        <f t="shared" si="190"/>
        <v>1.1827956989247312</v>
      </c>
      <c r="DF35" s="20">
        <f t="shared" si="190"/>
        <v>1.1397849462365592</v>
      </c>
      <c r="DG35" s="20">
        <f t="shared" si="190"/>
        <v>1.1397849462365592</v>
      </c>
      <c r="DH35" s="20">
        <f t="shared" si="190"/>
        <v>1.075268817204301</v>
      </c>
      <c r="DI35" s="20">
        <f t="shared" si="190"/>
        <v>1.1282051282051282</v>
      </c>
      <c r="DJ35" s="20">
        <f t="shared" si="190"/>
        <v>1.1623931623931625</v>
      </c>
      <c r="DK35" s="20">
        <f t="shared" si="190"/>
        <v>0.97435897435897434</v>
      </c>
      <c r="DL35" s="20">
        <f t="shared" si="190"/>
        <v>1.0909090909090908</v>
      </c>
      <c r="DM35" s="20">
        <f t="shared" si="190"/>
        <v>1.2220851063829787</v>
      </c>
      <c r="DN35" s="20">
        <f t="shared" si="190"/>
        <v>1.281851851851852</v>
      </c>
      <c r="DO35" s="20">
        <f t="shared" si="190"/>
        <v>1.1201958041958042</v>
      </c>
      <c r="DP35" s="20">
        <f t="shared" si="190"/>
        <v>1.0960839160839162</v>
      </c>
      <c r="DQ35" s="20">
        <f t="shared" si="190"/>
        <v>1.0573333333333335</v>
      </c>
      <c r="DR35" s="20">
        <f t="shared" si="190"/>
        <v>1.1140709219858156</v>
      </c>
      <c r="DS35" s="20">
        <f t="shared" si="190"/>
        <v>1.0548936170212766</v>
      </c>
      <c r="DT35" s="20">
        <f t="shared" si="190"/>
        <v>1.0663120567375886</v>
      </c>
      <c r="DU35" s="20">
        <f t="shared" si="190"/>
        <v>1.0388392857142856</v>
      </c>
      <c r="DV35" s="20">
        <f t="shared" si="190"/>
        <v>1.1850000000000001</v>
      </c>
      <c r="DW35" s="20">
        <f t="shared" si="190"/>
        <v>1.1841636363636365</v>
      </c>
      <c r="DX35" s="20">
        <f t="shared" si="190"/>
        <v>1.2205272727272729</v>
      </c>
      <c r="DY35" s="20">
        <f t="shared" si="190"/>
        <v>1.1943584905660378</v>
      </c>
      <c r="DZ35" s="20">
        <f t="shared" si="190"/>
        <v>1.1198999999999999</v>
      </c>
      <c r="EA35" s="20">
        <f t="shared" si="190"/>
        <v>1.1198999999999999</v>
      </c>
      <c r="EB35" s="20">
        <f t="shared" si="190"/>
        <v>1.2754555555555556</v>
      </c>
      <c r="EC35" s="20">
        <f t="shared" si="190"/>
        <v>1.2532333333333332</v>
      </c>
      <c r="ED35" s="20">
        <f t="shared" si="190"/>
        <v>1.2310111111111111</v>
      </c>
      <c r="EE35" s="20">
        <f t="shared" si="190"/>
        <v>1.1865666666666665</v>
      </c>
      <c r="EF35" s="20">
        <f t="shared" si="190"/>
        <v>1.3547888888888888</v>
      </c>
      <c r="EG35" s="20">
        <f t="shared" si="190"/>
        <v>1.3103444444444443</v>
      </c>
      <c r="EH35" s="20">
        <f t="shared" si="190"/>
        <v>1.2659</v>
      </c>
      <c r="EI35" s="20">
        <f t="shared" si="190"/>
        <v>1.2214555555555555</v>
      </c>
      <c r="EJ35" s="20">
        <f t="shared" si="190"/>
        <v>1.177011111111111</v>
      </c>
      <c r="EK35" s="20">
        <f t="shared" si="190"/>
        <v>1.1325666666666667</v>
      </c>
      <c r="EL35" s="20">
        <f t="shared" si="190"/>
        <v>1.2810534222222223</v>
      </c>
      <c r="EM35" s="20">
        <f t="shared" si="190"/>
        <v>1.2366089777777778</v>
      </c>
      <c r="EN35" s="20">
        <f t="shared" si="190"/>
        <v>1.1921645333333333</v>
      </c>
      <c r="EO35" s="20">
        <f t="shared" si="190"/>
        <v>1.147720088888889</v>
      </c>
      <c r="EP35" s="20">
        <f t="shared" si="190"/>
        <v>1.1032756444444445</v>
      </c>
      <c r="EQ35" s="20">
        <f t="shared" si="190"/>
        <v>1.0588312</v>
      </c>
      <c r="ER35" s="20">
        <f t="shared" si="190"/>
        <v>1.2073179555555558</v>
      </c>
      <c r="ES35" s="20">
        <f t="shared" si="190"/>
        <v>1.1628735111111113</v>
      </c>
      <c r="ET35" s="20">
        <f t="shared" si="190"/>
        <v>1.1184290666666667</v>
      </c>
      <c r="EU35" s="20">
        <f t="shared" si="190"/>
        <v>0.98094422023263883</v>
      </c>
      <c r="EV35" s="20">
        <f t="shared" si="190"/>
        <v>0.94969422023263883</v>
      </c>
      <c r="EW35" s="20">
        <f t="shared" si="190"/>
        <v>0.94969422023263883</v>
      </c>
      <c r="EX35" s="20">
        <f t="shared" si="190"/>
        <v>0.91844422023263883</v>
      </c>
      <c r="EY35" s="20">
        <f t="shared" ref="EY35" si="191">EY32/EY31</f>
        <v>0.93118703273263881</v>
      </c>
    </row>
  </sheetData>
  <mergeCells count="15">
    <mergeCell ref="B2:B7"/>
    <mergeCell ref="A2:A7"/>
    <mergeCell ref="C2:C7"/>
    <mergeCell ref="A9:A14"/>
    <mergeCell ref="B9:B14"/>
    <mergeCell ref="C9:C14"/>
    <mergeCell ref="A16:A21"/>
    <mergeCell ref="B16:B21"/>
    <mergeCell ref="C16:C21"/>
    <mergeCell ref="A30:A35"/>
    <mergeCell ref="B30:B35"/>
    <mergeCell ref="C30:C35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92BD-712E-49A6-B440-2FF81F811A57}">
  <dimension ref="A1:EY61"/>
  <sheetViews>
    <sheetView showGridLines="0" tabSelected="1" zoomScaleNormal="100" workbookViewId="0">
      <pane xSplit="4" ySplit="1" topLeftCell="ED9" activePane="bottomRight" state="frozen"/>
      <selection pane="topRight" activeCell="C1" sqref="C1"/>
      <selection pane="bottomLeft" activeCell="A2" sqref="A2"/>
      <selection pane="bottomRight" activeCell="FC25" sqref="FC25"/>
    </sheetView>
  </sheetViews>
  <sheetFormatPr defaultRowHeight="14.4" outlineLevelRow="1" x14ac:dyDescent="0.3"/>
  <cols>
    <col min="1" max="1" width="22.44140625" bestFit="1" customWidth="1"/>
    <col min="2" max="2" width="13.109375" bestFit="1" customWidth="1"/>
    <col min="3" max="3" width="9.6640625" customWidth="1"/>
    <col min="4" max="4" width="16.5546875" bestFit="1" customWidth="1"/>
    <col min="5" max="6" width="8.6640625" hidden="1" customWidth="1"/>
    <col min="7" max="7" width="9.33203125" hidden="1" customWidth="1"/>
    <col min="8" max="11" width="9" hidden="1" customWidth="1"/>
    <col min="12" max="16" width="9.33203125" hidden="1" customWidth="1"/>
    <col min="17" max="59" width="9.109375" hidden="1" customWidth="1"/>
    <col min="60" max="69" width="8.88671875" hidden="1" customWidth="1"/>
    <col min="70" max="102" width="9.109375" hidden="1" customWidth="1"/>
    <col min="103" max="134" width="8.88671875" hidden="1" customWidth="1"/>
    <col min="135" max="150" width="8.88671875" customWidth="1"/>
    <col min="151" max="155" width="8.88671875" hidden="1" customWidth="1"/>
  </cols>
  <sheetData>
    <row r="1" spans="1:155" x14ac:dyDescent="0.3">
      <c r="A1" s="24" t="s">
        <v>25</v>
      </c>
      <c r="B1" s="25" t="s">
        <v>24</v>
      </c>
      <c r="C1" s="25" t="s">
        <v>22</v>
      </c>
      <c r="D1" s="24"/>
      <c r="E1" s="14">
        <v>45340</v>
      </c>
      <c r="F1" s="14">
        <f>E1+7</f>
        <v>45347</v>
      </c>
      <c r="G1" s="14">
        <f t="shared" ref="G1:T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ref="U1" si="1">T1+7</f>
        <v>45452</v>
      </c>
      <c r="V1" s="14">
        <f t="shared" ref="V1" si="2">U1+7</f>
        <v>45459</v>
      </c>
      <c r="W1" s="14">
        <f t="shared" ref="W1" si="3">V1+7</f>
        <v>45466</v>
      </c>
      <c r="X1" s="14">
        <f t="shared" ref="X1" si="4">W1+7</f>
        <v>45473</v>
      </c>
      <c r="Y1" s="14">
        <f t="shared" ref="Y1" si="5">X1+7</f>
        <v>45480</v>
      </c>
      <c r="Z1" s="14">
        <f t="shared" ref="Z1" si="6">Y1+7</f>
        <v>45487</v>
      </c>
      <c r="AA1" s="14">
        <f t="shared" ref="AA1" si="7">Z1+7</f>
        <v>45494</v>
      </c>
      <c r="AB1" s="14">
        <f t="shared" ref="AB1" si="8">AA1+7</f>
        <v>45501</v>
      </c>
      <c r="AC1" s="14">
        <f t="shared" ref="AC1" si="9">AB1+7</f>
        <v>45508</v>
      </c>
      <c r="AD1" s="14">
        <f t="shared" ref="AD1" si="10">AC1+7</f>
        <v>45515</v>
      </c>
      <c r="AE1" s="14">
        <f t="shared" ref="AE1" si="11">AD1+7</f>
        <v>45522</v>
      </c>
      <c r="AF1" s="14">
        <f t="shared" ref="AF1" si="12">AE1+7</f>
        <v>45529</v>
      </c>
      <c r="AG1" s="14">
        <f t="shared" ref="AG1" si="13">AF1+7</f>
        <v>45536</v>
      </c>
      <c r="AH1" s="14">
        <f t="shared" ref="AH1" si="14">AG1+7</f>
        <v>45543</v>
      </c>
      <c r="AI1" s="14">
        <f t="shared" ref="AI1" si="15">AH1+7</f>
        <v>45550</v>
      </c>
      <c r="AJ1" s="14">
        <f t="shared" ref="AJ1" si="16">AI1+7</f>
        <v>45557</v>
      </c>
      <c r="AK1" s="14">
        <f t="shared" ref="AK1" si="17">AJ1+7</f>
        <v>45564</v>
      </c>
      <c r="AL1" s="14">
        <f t="shared" ref="AL1" si="18">AK1+7</f>
        <v>45571</v>
      </c>
      <c r="AM1" s="14">
        <f t="shared" ref="AM1" si="19">AL1+7</f>
        <v>45578</v>
      </c>
      <c r="AN1" s="14">
        <f t="shared" ref="AN1" si="20">AM1+7</f>
        <v>45585</v>
      </c>
      <c r="AO1" s="14">
        <f t="shared" ref="AO1" si="21">AN1+7</f>
        <v>45592</v>
      </c>
      <c r="AP1" s="14">
        <f t="shared" ref="AP1" si="22">AO1+7</f>
        <v>45599</v>
      </c>
      <c r="AQ1" s="14">
        <f t="shared" ref="AQ1" si="23">AP1+7</f>
        <v>45606</v>
      </c>
      <c r="AR1" s="14">
        <f t="shared" ref="AR1" si="24">AQ1+7</f>
        <v>45613</v>
      </c>
      <c r="AS1" s="14">
        <f t="shared" ref="AS1" si="25">AR1+7</f>
        <v>45620</v>
      </c>
      <c r="AT1" s="14">
        <f t="shared" ref="AT1" si="26">AS1+7</f>
        <v>45627</v>
      </c>
      <c r="AU1" s="14">
        <f t="shared" ref="AU1" si="27">AT1+7</f>
        <v>45634</v>
      </c>
      <c r="AV1" s="14">
        <f t="shared" ref="AV1" si="28">AU1+7</f>
        <v>45641</v>
      </c>
      <c r="AW1" s="14">
        <f t="shared" ref="AW1" si="29">AV1+7</f>
        <v>45648</v>
      </c>
      <c r="AX1" s="14">
        <f t="shared" ref="AX1" si="30">AW1+7</f>
        <v>45655</v>
      </c>
      <c r="AY1" s="14">
        <f t="shared" ref="AY1" si="31">AX1+7</f>
        <v>45662</v>
      </c>
      <c r="AZ1" s="14">
        <f t="shared" ref="AZ1:BB1" si="32">AY1+7</f>
        <v>45669</v>
      </c>
      <c r="BA1" s="14">
        <f t="shared" si="32"/>
        <v>45676</v>
      </c>
      <c r="BB1" s="14">
        <f t="shared" si="32"/>
        <v>45683</v>
      </c>
      <c r="BC1" s="14">
        <f t="shared" ref="BC1" si="33">BB1+7</f>
        <v>45690</v>
      </c>
      <c r="BD1" s="14">
        <f t="shared" ref="BD1" si="34">BC1+7</f>
        <v>45697</v>
      </c>
      <c r="BE1" s="14">
        <f t="shared" ref="BE1" si="35">BD1+7</f>
        <v>45704</v>
      </c>
      <c r="BF1" s="14">
        <f t="shared" ref="BF1" si="36">BE1+7</f>
        <v>45711</v>
      </c>
      <c r="BG1" s="14">
        <f t="shared" ref="BG1" si="37">BF1+7</f>
        <v>45718</v>
      </c>
      <c r="BH1" s="14">
        <f t="shared" ref="BH1" si="38">BG1+7</f>
        <v>45725</v>
      </c>
      <c r="BI1" s="14">
        <f t="shared" ref="BI1" si="39">BH1+7</f>
        <v>45732</v>
      </c>
      <c r="BJ1" s="14">
        <f t="shared" ref="BJ1" si="40">BI1+7</f>
        <v>45739</v>
      </c>
      <c r="BK1" s="14">
        <f t="shared" ref="BK1" si="41">BJ1+7</f>
        <v>45746</v>
      </c>
      <c r="BL1" s="14">
        <f t="shared" ref="BL1" si="42">BK1+7</f>
        <v>45753</v>
      </c>
      <c r="BM1" s="14">
        <f t="shared" ref="BM1" si="43">BL1+7</f>
        <v>45760</v>
      </c>
      <c r="BN1" s="14">
        <f t="shared" ref="BN1" si="44">BM1+7</f>
        <v>45767</v>
      </c>
      <c r="BO1" s="14">
        <f t="shared" ref="BO1" si="45">BN1+7</f>
        <v>45774</v>
      </c>
      <c r="BP1" s="14">
        <f t="shared" ref="BP1" si="46">BO1+7</f>
        <v>45781</v>
      </c>
      <c r="BQ1" s="14">
        <f t="shared" ref="BQ1" si="47">BP1+7</f>
        <v>45788</v>
      </c>
      <c r="BR1" s="14">
        <f t="shared" ref="BR1" si="48">BQ1+7</f>
        <v>45795</v>
      </c>
      <c r="BS1" s="14">
        <f t="shared" ref="BS1" si="49">BR1+7</f>
        <v>45802</v>
      </c>
      <c r="BT1" s="14">
        <f t="shared" ref="BT1" si="50">BS1+7</f>
        <v>45809</v>
      </c>
      <c r="BU1" s="14">
        <f t="shared" ref="BU1" si="51">BT1+7</f>
        <v>45816</v>
      </c>
      <c r="BV1" s="14">
        <f t="shared" ref="BV1" si="52">BU1+7</f>
        <v>45823</v>
      </c>
      <c r="BW1" s="14">
        <f t="shared" ref="BW1" si="53">BV1+7</f>
        <v>45830</v>
      </c>
      <c r="BX1" s="14">
        <f t="shared" ref="BX1" si="54">BW1+7</f>
        <v>45837</v>
      </c>
      <c r="BY1" s="14">
        <f t="shared" ref="BY1" si="55">BX1+7</f>
        <v>45844</v>
      </c>
      <c r="BZ1" s="14">
        <f t="shared" ref="BZ1" si="56">BY1+7</f>
        <v>45851</v>
      </c>
      <c r="CA1" s="14">
        <f t="shared" ref="CA1" si="57">BZ1+7</f>
        <v>45858</v>
      </c>
      <c r="CB1" s="14">
        <f t="shared" ref="CB1" si="58">CA1+7</f>
        <v>45865</v>
      </c>
      <c r="CC1" s="14">
        <f t="shared" ref="CC1" si="59">CB1+7</f>
        <v>45872</v>
      </c>
      <c r="CD1" s="14">
        <f t="shared" ref="CD1" si="60">CC1+7</f>
        <v>45879</v>
      </c>
      <c r="CE1" s="14">
        <f t="shared" ref="CE1" si="61">CD1+7</f>
        <v>45886</v>
      </c>
      <c r="CF1" s="14">
        <f t="shared" ref="CF1" si="62">CE1+7</f>
        <v>45893</v>
      </c>
      <c r="CG1" s="14">
        <f t="shared" ref="CG1" si="63">CF1+7</f>
        <v>45900</v>
      </c>
      <c r="CH1" s="14">
        <f t="shared" ref="CH1" si="64">CG1+7</f>
        <v>45907</v>
      </c>
      <c r="CI1" s="14">
        <f t="shared" ref="CI1" si="65">CH1+7</f>
        <v>45914</v>
      </c>
      <c r="CJ1" s="14">
        <f t="shared" ref="CJ1" si="66">CI1+7</f>
        <v>45921</v>
      </c>
      <c r="CK1" s="14">
        <f t="shared" ref="CK1" si="67">CJ1+7</f>
        <v>45928</v>
      </c>
      <c r="CL1" s="14">
        <f t="shared" ref="CL1" si="68">CK1+7</f>
        <v>45935</v>
      </c>
      <c r="CM1" s="14">
        <f t="shared" ref="CM1" si="69">CL1+7</f>
        <v>45942</v>
      </c>
      <c r="CN1" s="14">
        <f t="shared" ref="CN1" si="70">CM1+7</f>
        <v>45949</v>
      </c>
      <c r="CO1" s="14">
        <f t="shared" ref="CO1" si="71">CN1+7</f>
        <v>45956</v>
      </c>
      <c r="CP1" s="14">
        <f t="shared" ref="CP1" si="72">CO1+7</f>
        <v>45963</v>
      </c>
      <c r="CQ1" s="14">
        <f t="shared" ref="CQ1" si="73">CP1+7</f>
        <v>45970</v>
      </c>
      <c r="CR1" s="14">
        <f t="shared" ref="CR1" si="74">CQ1+7</f>
        <v>45977</v>
      </c>
      <c r="CS1" s="14">
        <f t="shared" ref="CS1" si="75">CR1+7</f>
        <v>45984</v>
      </c>
      <c r="CT1" s="14">
        <f t="shared" ref="CT1" si="76">CS1+7</f>
        <v>45991</v>
      </c>
      <c r="CU1" s="14">
        <f t="shared" ref="CU1" si="77">CT1+7</f>
        <v>45998</v>
      </c>
      <c r="CV1" s="14">
        <f t="shared" ref="CV1" si="78">CU1+7</f>
        <v>46005</v>
      </c>
      <c r="CW1" s="14">
        <f t="shared" ref="CW1:CY1" si="79">CV1+7</f>
        <v>46012</v>
      </c>
      <c r="CX1" s="14">
        <f t="shared" si="79"/>
        <v>46019</v>
      </c>
      <c r="CY1" s="14">
        <f t="shared" si="79"/>
        <v>46026</v>
      </c>
      <c r="CZ1" s="14">
        <f t="shared" ref="CZ1" si="80">CY1+7</f>
        <v>46033</v>
      </c>
      <c r="DA1" s="14">
        <f t="shared" ref="DA1" si="81">CZ1+7</f>
        <v>46040</v>
      </c>
      <c r="DB1" s="14">
        <f t="shared" ref="DB1" si="82">DA1+7</f>
        <v>46047</v>
      </c>
      <c r="DC1" s="14">
        <f t="shared" ref="DC1" si="83">DB1+7</f>
        <v>46054</v>
      </c>
      <c r="DD1" s="14">
        <f t="shared" ref="DD1" si="84">DC1+7</f>
        <v>46061</v>
      </c>
      <c r="DE1" s="14">
        <f t="shared" ref="DE1" si="85">DD1+7</f>
        <v>46068</v>
      </c>
      <c r="DF1" s="14">
        <f t="shared" ref="DF1" si="86">DE1+7</f>
        <v>46075</v>
      </c>
      <c r="DG1" s="14">
        <f t="shared" ref="DG1" si="87">DF1+7</f>
        <v>46082</v>
      </c>
      <c r="DH1" s="14">
        <f t="shared" ref="DH1" si="88">DG1+7</f>
        <v>46089</v>
      </c>
      <c r="DI1" s="14">
        <f t="shared" ref="DI1" si="89">DH1+7</f>
        <v>46096</v>
      </c>
      <c r="DJ1" s="14">
        <f t="shared" ref="DJ1" si="90">DI1+7</f>
        <v>46103</v>
      </c>
      <c r="DK1" s="14">
        <f t="shared" ref="DK1" si="91">DJ1+7</f>
        <v>46110</v>
      </c>
      <c r="DL1" s="14">
        <f t="shared" ref="DL1" si="92">DK1+7</f>
        <v>46117</v>
      </c>
      <c r="DM1" s="14">
        <f t="shared" ref="DM1" si="93">DL1+7</f>
        <v>46124</v>
      </c>
      <c r="DN1" s="14">
        <f t="shared" ref="DN1" si="94">DM1+7</f>
        <v>46131</v>
      </c>
      <c r="DO1" s="14">
        <f t="shared" ref="DO1" si="95">DN1+7</f>
        <v>46138</v>
      </c>
      <c r="DP1" s="14">
        <f t="shared" ref="DP1" si="96">DO1+7</f>
        <v>46145</v>
      </c>
      <c r="DQ1" s="14">
        <f t="shared" ref="DQ1" si="97">DP1+7</f>
        <v>46152</v>
      </c>
      <c r="DR1" s="14">
        <f t="shared" ref="DR1" si="98">DQ1+7</f>
        <v>46159</v>
      </c>
      <c r="DS1" s="14">
        <f t="shared" ref="DS1" si="99">DR1+7</f>
        <v>46166</v>
      </c>
      <c r="DT1" s="14">
        <f t="shared" ref="DT1" si="100">DS1+7</f>
        <v>46173</v>
      </c>
      <c r="DU1" s="14">
        <f t="shared" ref="DU1" si="101">DT1+7</f>
        <v>46180</v>
      </c>
      <c r="DV1" s="14">
        <f t="shared" ref="DV1" si="102">DU1+7</f>
        <v>46187</v>
      </c>
      <c r="DW1" s="14">
        <f t="shared" ref="DW1" si="103">DV1+7</f>
        <v>46194</v>
      </c>
      <c r="DX1" s="14">
        <f t="shared" ref="DX1" si="104">DW1+7</f>
        <v>46201</v>
      </c>
      <c r="DY1" s="14">
        <f t="shared" ref="DY1" si="105">DX1+7</f>
        <v>46208</v>
      </c>
      <c r="DZ1" s="14">
        <f t="shared" ref="DZ1" si="106">DY1+7</f>
        <v>46215</v>
      </c>
      <c r="EA1" s="14">
        <f t="shared" ref="EA1" si="107">DZ1+7</f>
        <v>46222</v>
      </c>
      <c r="EB1" s="14">
        <f t="shared" ref="EB1" si="108">EA1+7</f>
        <v>46229</v>
      </c>
      <c r="EC1" s="14">
        <f t="shared" ref="EC1" si="109">EB1+7</f>
        <v>46236</v>
      </c>
      <c r="ED1" s="14">
        <f t="shared" ref="ED1" si="110">EC1+7</f>
        <v>46243</v>
      </c>
      <c r="EE1" s="14">
        <f t="shared" ref="EE1" si="111">ED1+7</f>
        <v>46250</v>
      </c>
      <c r="EF1" s="14">
        <f t="shared" ref="EF1" si="112">EE1+7</f>
        <v>46257</v>
      </c>
      <c r="EG1" s="14">
        <f t="shared" ref="EG1" si="113">EF1+7</f>
        <v>46264</v>
      </c>
      <c r="EH1" s="14">
        <f t="shared" ref="EH1" si="114">EG1+7</f>
        <v>46271</v>
      </c>
      <c r="EI1" s="14">
        <f t="shared" ref="EI1" si="115">EH1+7</f>
        <v>46278</v>
      </c>
      <c r="EJ1" s="14">
        <f t="shared" ref="EJ1" si="116">EI1+7</f>
        <v>46285</v>
      </c>
      <c r="EK1" s="14">
        <f t="shared" ref="EK1" si="117">EJ1+7</f>
        <v>46292</v>
      </c>
      <c r="EL1" s="14">
        <f t="shared" ref="EL1" si="118">EK1+7</f>
        <v>46299</v>
      </c>
      <c r="EM1" s="14">
        <f t="shared" ref="EM1" si="119">EL1+7</f>
        <v>46306</v>
      </c>
      <c r="EN1" s="14">
        <f t="shared" ref="EN1" si="120">EM1+7</f>
        <v>46313</v>
      </c>
      <c r="EO1" s="14">
        <f t="shared" ref="EO1" si="121">EN1+7</f>
        <v>46320</v>
      </c>
      <c r="EP1" s="14">
        <f t="shared" ref="EP1" si="122">EO1+7</f>
        <v>46327</v>
      </c>
      <c r="EQ1" s="14">
        <f t="shared" ref="EQ1" si="123">EP1+7</f>
        <v>46334</v>
      </c>
      <c r="ER1" s="14">
        <f t="shared" ref="ER1" si="124">EQ1+7</f>
        <v>46341</v>
      </c>
      <c r="ES1" s="14">
        <f t="shared" ref="ES1" si="125">ER1+7</f>
        <v>46348</v>
      </c>
      <c r="ET1" s="14">
        <f t="shared" ref="ET1" si="126">ES1+7</f>
        <v>46355</v>
      </c>
      <c r="EU1" s="14">
        <f t="shared" ref="EU1" si="127">ET1+7</f>
        <v>46362</v>
      </c>
      <c r="EV1" s="14">
        <f t="shared" ref="EV1" si="128">EU1+7</f>
        <v>46369</v>
      </c>
      <c r="EW1" s="14">
        <f t="shared" ref="EW1" si="129">EV1+7</f>
        <v>46376</v>
      </c>
      <c r="EX1" s="14">
        <f t="shared" ref="EX1" si="130">EW1+7</f>
        <v>46383</v>
      </c>
      <c r="EY1" s="14">
        <f t="shared" ref="EY1" si="131">EX1+7</f>
        <v>46390</v>
      </c>
    </row>
    <row r="2" spans="1:155" hidden="1" outlineLevel="1" x14ac:dyDescent="0.3">
      <c r="A2" s="36" t="s">
        <v>19</v>
      </c>
      <c r="B2" s="36" t="s">
        <v>19</v>
      </c>
      <c r="C2" s="37" t="s">
        <v>23</v>
      </c>
      <c r="D2" s="15" t="s">
        <v>13</v>
      </c>
      <c r="E2" s="16">
        <v>100</v>
      </c>
      <c r="F2" s="16">
        <v>100</v>
      </c>
      <c r="G2" s="16">
        <v>100</v>
      </c>
      <c r="H2" s="16">
        <v>100</v>
      </c>
      <c r="I2" s="16">
        <v>100</v>
      </c>
      <c r="J2" s="16">
        <v>100</v>
      </c>
      <c r="K2" s="16">
        <v>100</v>
      </c>
      <c r="L2" s="16">
        <v>100</v>
      </c>
      <c r="M2" s="16">
        <v>100</v>
      </c>
      <c r="N2" s="16">
        <v>100</v>
      </c>
      <c r="O2" s="16">
        <v>100</v>
      </c>
      <c r="P2" s="16">
        <v>100</v>
      </c>
      <c r="Q2" s="16">
        <v>100</v>
      </c>
      <c r="R2" s="16">
        <v>100</v>
      </c>
      <c r="S2" s="16">
        <v>100</v>
      </c>
      <c r="T2" s="16">
        <v>100</v>
      </c>
      <c r="U2" s="16">
        <v>100</v>
      </c>
      <c r="V2" s="16">
        <v>100</v>
      </c>
      <c r="W2" s="16">
        <v>100</v>
      </c>
      <c r="X2" s="16">
        <v>100</v>
      </c>
      <c r="Y2" s="16">
        <v>100</v>
      </c>
      <c r="Z2" s="16">
        <v>100</v>
      </c>
      <c r="AA2" s="16">
        <v>100</v>
      </c>
      <c r="AB2" s="16">
        <v>100</v>
      </c>
      <c r="AC2" s="16">
        <v>100</v>
      </c>
      <c r="AD2" s="16">
        <v>100</v>
      </c>
      <c r="AE2" s="16">
        <v>100</v>
      </c>
      <c r="AF2" s="16">
        <v>100</v>
      </c>
      <c r="AG2" s="16">
        <v>100</v>
      </c>
      <c r="AH2" s="16">
        <v>100</v>
      </c>
      <c r="AI2" s="16">
        <v>100</v>
      </c>
      <c r="AJ2" s="16">
        <v>100</v>
      </c>
      <c r="AK2" s="16">
        <v>100</v>
      </c>
      <c r="AL2" s="16">
        <v>100</v>
      </c>
      <c r="AM2" s="16">
        <v>100</v>
      </c>
      <c r="AN2" s="16">
        <v>100</v>
      </c>
      <c r="AO2" s="16">
        <v>100</v>
      </c>
      <c r="AP2" s="16">
        <v>100</v>
      </c>
      <c r="AQ2" s="16">
        <v>100</v>
      </c>
      <c r="AR2" s="16">
        <v>100</v>
      </c>
      <c r="AS2" s="16">
        <v>100</v>
      </c>
      <c r="AT2" s="16">
        <v>100</v>
      </c>
      <c r="AU2" s="16">
        <v>100</v>
      </c>
      <c r="AV2" s="16">
        <v>100</v>
      </c>
      <c r="AW2" s="16">
        <v>100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23"/>
      <c r="BU2" s="23"/>
      <c r="BV2" s="23"/>
      <c r="BW2" s="23"/>
      <c r="BX2" s="23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>
        <v>71</v>
      </c>
      <c r="F3" s="17">
        <v>71</v>
      </c>
      <c r="G3" s="17">
        <v>81</v>
      </c>
      <c r="H3" s="17">
        <v>71</v>
      </c>
      <c r="I3" s="17">
        <v>64</v>
      </c>
      <c r="J3" s="17">
        <v>73</v>
      </c>
      <c r="K3" s="17">
        <v>71</v>
      </c>
      <c r="L3" s="17">
        <v>63</v>
      </c>
      <c r="M3" s="17">
        <v>68</v>
      </c>
      <c r="N3" s="17">
        <v>66</v>
      </c>
      <c r="O3" s="17">
        <v>51</v>
      </c>
      <c r="P3" s="17">
        <v>55</v>
      </c>
      <c r="Q3" s="17">
        <v>57</v>
      </c>
      <c r="R3" s="17">
        <v>59</v>
      </c>
      <c r="S3" s="17">
        <v>53</v>
      </c>
      <c r="T3" s="17">
        <v>69</v>
      </c>
      <c r="U3" s="17">
        <v>71</v>
      </c>
      <c r="V3" s="17">
        <v>70</v>
      </c>
      <c r="W3" s="17">
        <v>76</v>
      </c>
      <c r="X3" s="17">
        <v>75</v>
      </c>
      <c r="Y3" s="17">
        <v>78</v>
      </c>
      <c r="Z3" s="17">
        <v>83</v>
      </c>
      <c r="AA3" s="17">
        <v>86</v>
      </c>
      <c r="AB3" s="17">
        <v>103</v>
      </c>
      <c r="AC3" s="17">
        <v>101</v>
      </c>
      <c r="AD3" s="17">
        <v>95</v>
      </c>
      <c r="AE3" s="17">
        <v>90</v>
      </c>
      <c r="AF3" s="17">
        <v>90</v>
      </c>
      <c r="AG3" s="17">
        <v>101</v>
      </c>
      <c r="AH3" s="17">
        <v>95</v>
      </c>
      <c r="AI3" s="17">
        <v>82</v>
      </c>
      <c r="AJ3" s="17">
        <v>83</v>
      </c>
      <c r="AK3" s="17">
        <v>72</v>
      </c>
      <c r="AL3" s="17">
        <v>68</v>
      </c>
      <c r="AM3" s="17">
        <v>51</v>
      </c>
      <c r="AN3" s="17">
        <v>44</v>
      </c>
      <c r="AO3" s="17">
        <v>48</v>
      </c>
      <c r="AP3" s="17">
        <v>44</v>
      </c>
      <c r="AQ3" s="17">
        <v>48</v>
      </c>
      <c r="AR3" s="17">
        <v>44</v>
      </c>
      <c r="AS3" s="17">
        <v>38</v>
      </c>
      <c r="AT3" s="17">
        <v>34</v>
      </c>
      <c r="AU3" s="17">
        <v>34</v>
      </c>
      <c r="AV3" s="17">
        <v>34</v>
      </c>
      <c r="AW3" s="17">
        <v>35</v>
      </c>
      <c r="AX3" s="17">
        <v>44</v>
      </c>
      <c r="AY3" s="17">
        <v>40</v>
      </c>
      <c r="AZ3" s="17">
        <v>40</v>
      </c>
      <c r="BA3" s="17">
        <v>40</v>
      </c>
      <c r="BB3" s="17">
        <v>40</v>
      </c>
      <c r="BC3" s="17">
        <v>40</v>
      </c>
      <c r="BD3" s="17">
        <v>40</v>
      </c>
      <c r="BE3" s="17">
        <v>40</v>
      </c>
      <c r="BF3" s="17">
        <v>40</v>
      </c>
      <c r="BG3" s="17">
        <v>40</v>
      </c>
      <c r="BH3" s="17">
        <v>38</v>
      </c>
      <c r="BI3" s="17">
        <v>38</v>
      </c>
      <c r="BJ3" s="17">
        <v>50</v>
      </c>
      <c r="BK3" s="17">
        <v>50</v>
      </c>
      <c r="BL3" s="17">
        <v>50</v>
      </c>
      <c r="BM3" s="17">
        <v>50</v>
      </c>
      <c r="BN3" s="17">
        <v>50</v>
      </c>
      <c r="BO3" s="17">
        <v>48</v>
      </c>
      <c r="BP3" s="17">
        <v>48</v>
      </c>
      <c r="BQ3" s="17">
        <v>48</v>
      </c>
      <c r="BR3" s="17">
        <v>47</v>
      </c>
      <c r="BS3" s="17">
        <v>47</v>
      </c>
      <c r="BT3" s="17">
        <v>47</v>
      </c>
      <c r="BU3" s="17">
        <v>45</v>
      </c>
      <c r="BV3" s="17">
        <v>45</v>
      </c>
      <c r="BW3" s="17">
        <v>45</v>
      </c>
      <c r="BX3" s="17">
        <v>19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>
        <v>70.835982587499998</v>
      </c>
      <c r="F4" s="22">
        <v>62.794350000000001</v>
      </c>
      <c r="G4" s="22">
        <v>69.445349999999991</v>
      </c>
      <c r="H4" s="22">
        <v>62.265175976249999</v>
      </c>
      <c r="I4" s="22">
        <v>70.551999999999992</v>
      </c>
      <c r="J4" s="22">
        <v>75.496584999999996</v>
      </c>
      <c r="K4" s="22">
        <v>67.596577959999991</v>
      </c>
      <c r="L4" s="22">
        <v>64.269654400000007</v>
      </c>
      <c r="M4" s="22">
        <v>68.739109823999996</v>
      </c>
      <c r="N4" s="22">
        <v>60.861293824000001</v>
      </c>
      <c r="O4" s="22">
        <v>48.10826016</v>
      </c>
      <c r="P4" s="22">
        <v>49.588260160000004</v>
      </c>
      <c r="Q4" s="22">
        <v>61.513260160000002</v>
      </c>
      <c r="R4" s="22">
        <v>71.568260159999994</v>
      </c>
      <c r="S4" s="22">
        <v>63.373260160000001</v>
      </c>
      <c r="T4" s="22">
        <v>73.107260159999996</v>
      </c>
      <c r="U4" s="22">
        <v>62.83726016</v>
      </c>
      <c r="V4" s="22">
        <v>72.927260160000003</v>
      </c>
      <c r="W4" s="22">
        <v>75</v>
      </c>
      <c r="X4" s="22">
        <v>86</v>
      </c>
      <c r="Y4" s="22">
        <v>91</v>
      </c>
      <c r="Z4" s="22">
        <v>97</v>
      </c>
      <c r="AA4" s="22">
        <v>96</v>
      </c>
      <c r="AB4" s="22">
        <v>112</v>
      </c>
      <c r="AC4" s="22">
        <v>102</v>
      </c>
      <c r="AD4" s="22">
        <v>95</v>
      </c>
      <c r="AE4" s="22">
        <v>94</v>
      </c>
      <c r="AF4" s="22">
        <v>89</v>
      </c>
      <c r="AG4" s="22">
        <v>100</v>
      </c>
      <c r="AH4" s="22">
        <v>103</v>
      </c>
      <c r="AI4" s="22">
        <v>103</v>
      </c>
      <c r="AJ4" s="22">
        <v>101</v>
      </c>
      <c r="AK4" s="22">
        <v>101</v>
      </c>
      <c r="AL4" s="22">
        <v>96</v>
      </c>
      <c r="AM4" s="22">
        <v>66</v>
      </c>
      <c r="AN4" s="22">
        <v>63</v>
      </c>
      <c r="AO4" s="22">
        <v>46</v>
      </c>
      <c r="AP4" s="18">
        <v>45</v>
      </c>
      <c r="AQ4" s="18">
        <v>52</v>
      </c>
      <c r="AR4" s="18">
        <v>46</v>
      </c>
      <c r="AS4" s="18">
        <v>48</v>
      </c>
      <c r="AT4" s="18">
        <v>47</v>
      </c>
      <c r="AU4" s="18">
        <v>47</v>
      </c>
      <c r="AV4" s="18">
        <v>46</v>
      </c>
      <c r="AW4" s="18">
        <v>44</v>
      </c>
      <c r="AX4" s="18">
        <v>44</v>
      </c>
      <c r="AY4" s="18">
        <v>33</v>
      </c>
      <c r="AZ4" s="18">
        <v>41</v>
      </c>
      <c r="BA4" s="18">
        <v>40</v>
      </c>
      <c r="BB4" s="18">
        <v>39</v>
      </c>
      <c r="BC4" s="18">
        <v>32</v>
      </c>
      <c r="BD4" s="18">
        <v>44</v>
      </c>
      <c r="BE4" s="18">
        <v>41</v>
      </c>
      <c r="BF4" s="18">
        <v>42</v>
      </c>
      <c r="BG4" s="18">
        <v>32</v>
      </c>
      <c r="BH4" s="18">
        <v>42</v>
      </c>
      <c r="BI4" s="18">
        <v>42</v>
      </c>
      <c r="BJ4" s="18">
        <v>48</v>
      </c>
      <c r="BK4" s="18">
        <v>48</v>
      </c>
      <c r="BL4" s="18">
        <v>48</v>
      </c>
      <c r="BM4" s="18">
        <v>44</v>
      </c>
      <c r="BN4" s="18">
        <v>48</v>
      </c>
      <c r="BO4" s="18">
        <v>48</v>
      </c>
      <c r="BP4" s="18">
        <v>46</v>
      </c>
      <c r="BQ4" s="18">
        <v>44</v>
      </c>
      <c r="BR4" s="18">
        <v>44</v>
      </c>
      <c r="BS4" s="18">
        <v>42</v>
      </c>
      <c r="BT4" s="18">
        <v>42</v>
      </c>
      <c r="BU4" s="18">
        <v>45</v>
      </c>
      <c r="BV4" s="18">
        <v>42</v>
      </c>
      <c r="BW4" s="18">
        <v>38</v>
      </c>
      <c r="BX4" s="18">
        <v>20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110</v>
      </c>
      <c r="AB5" s="22">
        <v>139</v>
      </c>
      <c r="AC5" s="22">
        <v>124</v>
      </c>
      <c r="AD5" s="22">
        <v>116</v>
      </c>
      <c r="AE5" s="22">
        <v>111</v>
      </c>
      <c r="AF5" s="22">
        <v>108</v>
      </c>
      <c r="AG5" s="22">
        <v>115</v>
      </c>
      <c r="AH5" s="22">
        <v>119</v>
      </c>
      <c r="AI5" s="22">
        <v>117</v>
      </c>
      <c r="AJ5" s="22">
        <v>116</v>
      </c>
      <c r="AK5" s="22">
        <v>116</v>
      </c>
      <c r="AL5" s="22">
        <v>110</v>
      </c>
      <c r="AM5" s="22">
        <v>91</v>
      </c>
      <c r="AN5" s="22">
        <v>88</v>
      </c>
      <c r="AO5" s="22">
        <v>69</v>
      </c>
      <c r="AP5" s="18">
        <v>68</v>
      </c>
      <c r="AQ5" s="18">
        <v>69</v>
      </c>
      <c r="AR5" s="18">
        <v>67</v>
      </c>
      <c r="AS5" s="18">
        <v>68</v>
      </c>
      <c r="AT5" s="18">
        <v>67</v>
      </c>
      <c r="AU5" s="18">
        <v>66</v>
      </c>
      <c r="AV5" s="18">
        <v>65</v>
      </c>
      <c r="AW5" s="18">
        <v>62</v>
      </c>
      <c r="AX5" s="18">
        <v>62</v>
      </c>
      <c r="AY5" s="18">
        <v>62</v>
      </c>
      <c r="AZ5" s="18">
        <v>59</v>
      </c>
      <c r="BA5" s="18">
        <v>57</v>
      </c>
      <c r="BB5" s="18">
        <v>57</v>
      </c>
      <c r="BC5" s="18">
        <v>57</v>
      </c>
      <c r="BD5" s="18">
        <v>57</v>
      </c>
      <c r="BE5" s="18">
        <v>57</v>
      </c>
      <c r="BF5" s="18">
        <v>57</v>
      </c>
      <c r="BG5" s="18">
        <v>57</v>
      </c>
      <c r="BH5" s="18">
        <v>57</v>
      </c>
      <c r="BI5" s="18">
        <v>57</v>
      </c>
      <c r="BJ5" s="18">
        <v>56</v>
      </c>
      <c r="BK5" s="18">
        <v>56</v>
      </c>
      <c r="BL5" s="18">
        <v>56</v>
      </c>
      <c r="BM5" s="18">
        <v>55</v>
      </c>
      <c r="BN5" s="18">
        <v>55</v>
      </c>
      <c r="BO5" s="18">
        <v>55</v>
      </c>
      <c r="BP5" s="18">
        <v>53</v>
      </c>
      <c r="BQ5" s="18">
        <v>49</v>
      </c>
      <c r="BR5" s="18">
        <v>49</v>
      </c>
      <c r="BS5" s="18">
        <v>47</v>
      </c>
      <c r="BT5" s="18">
        <v>47</v>
      </c>
      <c r="BU5" s="18">
        <v>46</v>
      </c>
      <c r="BV5" s="18">
        <v>46</v>
      </c>
      <c r="BW5" s="18">
        <v>42</v>
      </c>
      <c r="BX5" s="18">
        <v>21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>
        <f t="shared" ref="E6:AW6" si="132">E4/E2</f>
        <v>0.70835982587500002</v>
      </c>
      <c r="F6" s="19">
        <f t="shared" si="132"/>
        <v>0.62794349999999999</v>
      </c>
      <c r="G6" s="19">
        <f t="shared" si="132"/>
        <v>0.69445349999999995</v>
      </c>
      <c r="H6" s="19">
        <f t="shared" si="132"/>
        <v>0.62265175976249998</v>
      </c>
      <c r="I6" s="19">
        <f t="shared" si="132"/>
        <v>0.70551999999999992</v>
      </c>
      <c r="J6" s="19">
        <f t="shared" si="132"/>
        <v>0.75496584999999994</v>
      </c>
      <c r="K6" s="19">
        <f t="shared" si="132"/>
        <v>0.67596577959999993</v>
      </c>
      <c r="L6" s="19">
        <f t="shared" si="132"/>
        <v>0.64269654400000009</v>
      </c>
      <c r="M6" s="19">
        <f t="shared" si="132"/>
        <v>0.68739109824</v>
      </c>
      <c r="N6" s="19">
        <f t="shared" si="132"/>
        <v>0.60861293823999996</v>
      </c>
      <c r="O6" s="19">
        <f t="shared" si="132"/>
        <v>0.48108260159999999</v>
      </c>
      <c r="P6" s="19">
        <f t="shared" si="132"/>
        <v>0.49588260160000003</v>
      </c>
      <c r="Q6" s="19">
        <f t="shared" si="132"/>
        <v>0.61513260160000005</v>
      </c>
      <c r="R6" s="19">
        <f t="shared" si="132"/>
        <v>0.71568260159999997</v>
      </c>
      <c r="S6" s="19">
        <f t="shared" si="132"/>
        <v>0.6337326016</v>
      </c>
      <c r="T6" s="19">
        <f t="shared" si="132"/>
        <v>0.73107260159999998</v>
      </c>
      <c r="U6" s="19">
        <f t="shared" si="132"/>
        <v>0.62837260159999997</v>
      </c>
      <c r="V6" s="19">
        <f t="shared" si="132"/>
        <v>0.72927260160000007</v>
      </c>
      <c r="W6" s="19">
        <f t="shared" si="132"/>
        <v>0.75</v>
      </c>
      <c r="X6" s="19">
        <f t="shared" si="132"/>
        <v>0.86</v>
      </c>
      <c r="Y6" s="19">
        <f t="shared" si="132"/>
        <v>0.91</v>
      </c>
      <c r="Z6" s="19">
        <f t="shared" si="132"/>
        <v>0.97</v>
      </c>
      <c r="AA6" s="19">
        <f t="shared" si="132"/>
        <v>0.96</v>
      </c>
      <c r="AB6" s="19">
        <f t="shared" si="132"/>
        <v>1.1200000000000001</v>
      </c>
      <c r="AC6" s="19">
        <f t="shared" si="132"/>
        <v>1.02</v>
      </c>
      <c r="AD6" s="19">
        <f t="shared" si="132"/>
        <v>0.95</v>
      </c>
      <c r="AE6" s="19">
        <f t="shared" si="132"/>
        <v>0.94</v>
      </c>
      <c r="AF6" s="19">
        <f t="shared" si="132"/>
        <v>0.89</v>
      </c>
      <c r="AG6" s="19">
        <f t="shared" si="132"/>
        <v>1</v>
      </c>
      <c r="AH6" s="19">
        <f t="shared" si="132"/>
        <v>1.03</v>
      </c>
      <c r="AI6" s="19">
        <f t="shared" si="132"/>
        <v>1.03</v>
      </c>
      <c r="AJ6" s="19">
        <f t="shared" si="132"/>
        <v>1.01</v>
      </c>
      <c r="AK6" s="19">
        <f t="shared" si="132"/>
        <v>1.01</v>
      </c>
      <c r="AL6" s="19">
        <f t="shared" si="132"/>
        <v>0.96</v>
      </c>
      <c r="AM6" s="19">
        <f t="shared" si="132"/>
        <v>0.66</v>
      </c>
      <c r="AN6" s="19">
        <f t="shared" si="132"/>
        <v>0.63</v>
      </c>
      <c r="AO6" s="19">
        <f t="shared" si="132"/>
        <v>0.46</v>
      </c>
      <c r="AP6" s="19">
        <f t="shared" si="132"/>
        <v>0.45</v>
      </c>
      <c r="AQ6" s="19">
        <f t="shared" si="132"/>
        <v>0.52</v>
      </c>
      <c r="AR6" s="19">
        <f t="shared" si="132"/>
        <v>0.46</v>
      </c>
      <c r="AS6" s="19">
        <f t="shared" si="132"/>
        <v>0.48</v>
      </c>
      <c r="AT6" s="19">
        <f t="shared" si="132"/>
        <v>0.47</v>
      </c>
      <c r="AU6" s="19">
        <f t="shared" si="132"/>
        <v>0.47</v>
      </c>
      <c r="AV6" s="19">
        <f t="shared" si="132"/>
        <v>0.46</v>
      </c>
      <c r="AW6" s="19">
        <f t="shared" si="132"/>
        <v>0.44</v>
      </c>
      <c r="AX6" s="19" t="e">
        <f t="shared" ref="AX6:AZ6" si="133">AX4/AX2</f>
        <v>#DIV/0!</v>
      </c>
      <c r="AY6" s="19" t="e">
        <f t="shared" si="133"/>
        <v>#DIV/0!</v>
      </c>
      <c r="AZ6" s="19" t="e">
        <f t="shared" si="133"/>
        <v>#DIV/0!</v>
      </c>
      <c r="BA6" s="19" t="e">
        <f t="shared" ref="BA6:BB6" si="134">BA4/BA2</f>
        <v>#DIV/0!</v>
      </c>
      <c r="BB6" s="19" t="e">
        <f t="shared" si="134"/>
        <v>#DIV/0!</v>
      </c>
      <c r="BC6" s="19" t="e">
        <f t="shared" ref="BC6:BG6" si="135">BC4/BC2</f>
        <v>#DIV/0!</v>
      </c>
      <c r="BD6" s="19" t="e">
        <f t="shared" si="135"/>
        <v>#DIV/0!</v>
      </c>
      <c r="BE6" s="19" t="e">
        <f t="shared" si="135"/>
        <v>#DIV/0!</v>
      </c>
      <c r="BF6" s="19" t="e">
        <f t="shared" si="135"/>
        <v>#DIV/0!</v>
      </c>
      <c r="BG6" s="19" t="e">
        <f t="shared" si="135"/>
        <v>#DIV/0!</v>
      </c>
      <c r="BH6" s="19" t="e">
        <f t="shared" ref="BH6:BM6" si="136">BH4/BH2</f>
        <v>#DIV/0!</v>
      </c>
      <c r="BI6" s="19" t="e">
        <f t="shared" si="136"/>
        <v>#DIV/0!</v>
      </c>
      <c r="BJ6" s="19" t="e">
        <f t="shared" si="136"/>
        <v>#DIV/0!</v>
      </c>
      <c r="BK6" s="19" t="e">
        <f t="shared" si="136"/>
        <v>#DIV/0!</v>
      </c>
      <c r="BL6" s="19" t="e">
        <f t="shared" si="136"/>
        <v>#DIV/0!</v>
      </c>
      <c r="BM6" s="19" t="e">
        <f t="shared" si="136"/>
        <v>#DIV/0!</v>
      </c>
      <c r="BN6" s="19" t="e">
        <f t="shared" ref="BN6:BO6" si="137">BN4/BN2</f>
        <v>#DIV/0!</v>
      </c>
      <c r="BO6" s="19" t="e">
        <f t="shared" si="137"/>
        <v>#DIV/0!</v>
      </c>
      <c r="BP6" s="19" t="e">
        <f t="shared" ref="BP6:CW6" si="138">BP4/BP2</f>
        <v>#DIV/0!</v>
      </c>
      <c r="BQ6" s="19" t="e">
        <f t="shared" si="138"/>
        <v>#DIV/0!</v>
      </c>
      <c r="BR6" s="19" t="e">
        <f t="shared" si="138"/>
        <v>#DIV/0!</v>
      </c>
      <c r="BS6" s="19" t="e">
        <f t="shared" si="138"/>
        <v>#DIV/0!</v>
      </c>
      <c r="BT6" s="19" t="e">
        <f>BT4/BT2</f>
        <v>#DIV/0!</v>
      </c>
      <c r="BU6" s="19" t="e">
        <f t="shared" si="138"/>
        <v>#DIV/0!</v>
      </c>
      <c r="BV6" s="19" t="e">
        <f t="shared" si="138"/>
        <v>#DIV/0!</v>
      </c>
      <c r="BW6" s="19" t="e">
        <f t="shared" si="138"/>
        <v>#DIV/0!</v>
      </c>
      <c r="BX6" s="19" t="e">
        <f t="shared" si="138"/>
        <v>#DIV/0!</v>
      </c>
      <c r="BY6" s="19" t="e">
        <f t="shared" si="138"/>
        <v>#DIV/0!</v>
      </c>
      <c r="BZ6" s="19" t="e">
        <f t="shared" si="138"/>
        <v>#DIV/0!</v>
      </c>
      <c r="CA6" s="19" t="e">
        <f t="shared" si="138"/>
        <v>#DIV/0!</v>
      </c>
      <c r="CB6" s="19" t="e">
        <f t="shared" si="138"/>
        <v>#DIV/0!</v>
      </c>
      <c r="CC6" s="19" t="e">
        <f t="shared" si="138"/>
        <v>#DIV/0!</v>
      </c>
      <c r="CD6" s="19" t="e">
        <f t="shared" si="138"/>
        <v>#DIV/0!</v>
      </c>
      <c r="CE6" s="19" t="e">
        <f t="shared" si="138"/>
        <v>#DIV/0!</v>
      </c>
      <c r="CF6" s="19" t="e">
        <f t="shared" si="138"/>
        <v>#DIV/0!</v>
      </c>
      <c r="CG6" s="19" t="e">
        <f t="shared" si="138"/>
        <v>#DIV/0!</v>
      </c>
      <c r="CH6" s="19" t="e">
        <f t="shared" si="138"/>
        <v>#DIV/0!</v>
      </c>
      <c r="CI6" s="19" t="e">
        <f t="shared" si="138"/>
        <v>#DIV/0!</v>
      </c>
      <c r="CJ6" s="19" t="e">
        <f t="shared" si="138"/>
        <v>#DIV/0!</v>
      </c>
      <c r="CK6" s="19" t="e">
        <f t="shared" si="138"/>
        <v>#DIV/0!</v>
      </c>
      <c r="CL6" s="19" t="e">
        <f t="shared" si="138"/>
        <v>#DIV/0!</v>
      </c>
      <c r="CM6" s="19" t="e">
        <f t="shared" si="138"/>
        <v>#DIV/0!</v>
      </c>
      <c r="CN6" s="19" t="e">
        <f t="shared" si="138"/>
        <v>#DIV/0!</v>
      </c>
      <c r="CO6" s="19" t="e">
        <f t="shared" si="138"/>
        <v>#DIV/0!</v>
      </c>
      <c r="CP6" s="19" t="e">
        <f t="shared" si="138"/>
        <v>#DIV/0!</v>
      </c>
      <c r="CQ6" s="19" t="e">
        <f t="shared" si="138"/>
        <v>#DIV/0!</v>
      </c>
      <c r="CR6" s="19" t="e">
        <f t="shared" si="138"/>
        <v>#DIV/0!</v>
      </c>
      <c r="CS6" s="19" t="e">
        <f t="shared" si="138"/>
        <v>#DIV/0!</v>
      </c>
      <c r="CT6" s="19" t="e">
        <f t="shared" si="138"/>
        <v>#DIV/0!</v>
      </c>
      <c r="CU6" s="19" t="e">
        <f t="shared" si="138"/>
        <v>#DIV/0!</v>
      </c>
      <c r="CV6" s="19" t="e">
        <f t="shared" si="138"/>
        <v>#DIV/0!</v>
      </c>
      <c r="CW6" s="19" t="e">
        <f t="shared" si="138"/>
        <v>#DIV/0!</v>
      </c>
      <c r="CX6" s="19" t="e">
        <f t="shared" ref="CX6:CY6" si="139">CX4/CX2</f>
        <v>#DIV/0!</v>
      </c>
      <c r="CY6" s="19" t="e">
        <f t="shared" si="139"/>
        <v>#DIV/0!</v>
      </c>
      <c r="CZ6" s="19" t="e">
        <f t="shared" ref="CZ6:EV6" si="140">CZ4/CZ2</f>
        <v>#DIV/0!</v>
      </c>
      <c r="DA6" s="19" t="e">
        <f t="shared" si="140"/>
        <v>#DIV/0!</v>
      </c>
      <c r="DB6" s="19" t="e">
        <f t="shared" si="140"/>
        <v>#DIV/0!</v>
      </c>
      <c r="DC6" s="19" t="e">
        <f t="shared" si="140"/>
        <v>#DIV/0!</v>
      </c>
      <c r="DD6" s="19" t="e">
        <f t="shared" si="140"/>
        <v>#DIV/0!</v>
      </c>
      <c r="DE6" s="19" t="e">
        <f t="shared" si="140"/>
        <v>#DIV/0!</v>
      </c>
      <c r="DF6" s="19" t="e">
        <f t="shared" si="140"/>
        <v>#DIV/0!</v>
      </c>
      <c r="DG6" s="19" t="e">
        <f t="shared" si="140"/>
        <v>#DIV/0!</v>
      </c>
      <c r="DH6" s="19" t="e">
        <f t="shared" si="140"/>
        <v>#DIV/0!</v>
      </c>
      <c r="DI6" s="19" t="e">
        <f t="shared" si="140"/>
        <v>#DIV/0!</v>
      </c>
      <c r="DJ6" s="19" t="e">
        <f t="shared" si="140"/>
        <v>#DIV/0!</v>
      </c>
      <c r="DK6" s="19" t="e">
        <f t="shared" si="140"/>
        <v>#DIV/0!</v>
      </c>
      <c r="DL6" s="19" t="e">
        <f t="shared" si="140"/>
        <v>#DIV/0!</v>
      </c>
      <c r="DM6" s="19" t="e">
        <f t="shared" si="140"/>
        <v>#DIV/0!</v>
      </c>
      <c r="DN6" s="19" t="e">
        <f t="shared" si="140"/>
        <v>#DIV/0!</v>
      </c>
      <c r="DO6" s="19" t="e">
        <f t="shared" si="140"/>
        <v>#DIV/0!</v>
      </c>
      <c r="DP6" s="19" t="e">
        <f t="shared" si="140"/>
        <v>#DIV/0!</v>
      </c>
      <c r="DQ6" s="19" t="e">
        <f t="shared" si="140"/>
        <v>#DIV/0!</v>
      </c>
      <c r="DR6" s="19" t="e">
        <f t="shared" si="140"/>
        <v>#DIV/0!</v>
      </c>
      <c r="DS6" s="19" t="e">
        <f t="shared" si="140"/>
        <v>#DIV/0!</v>
      </c>
      <c r="DT6" s="19" t="e">
        <f t="shared" si="140"/>
        <v>#DIV/0!</v>
      </c>
      <c r="DU6" s="19" t="e">
        <f t="shared" si="140"/>
        <v>#DIV/0!</v>
      </c>
      <c r="DV6" s="19" t="e">
        <f t="shared" si="140"/>
        <v>#DIV/0!</v>
      </c>
      <c r="DW6" s="19" t="e">
        <f t="shared" si="140"/>
        <v>#DIV/0!</v>
      </c>
      <c r="DX6" s="19" t="e">
        <f t="shared" si="140"/>
        <v>#DIV/0!</v>
      </c>
      <c r="DY6" s="19" t="e">
        <f t="shared" si="140"/>
        <v>#DIV/0!</v>
      </c>
      <c r="DZ6" s="19" t="e">
        <f t="shared" si="140"/>
        <v>#DIV/0!</v>
      </c>
      <c r="EA6" s="19" t="e">
        <f t="shared" si="140"/>
        <v>#DIV/0!</v>
      </c>
      <c r="EB6" s="19" t="e">
        <f t="shared" si="140"/>
        <v>#DIV/0!</v>
      </c>
      <c r="EC6" s="19" t="e">
        <f t="shared" si="140"/>
        <v>#DIV/0!</v>
      </c>
      <c r="ED6" s="19" t="e">
        <f t="shared" si="140"/>
        <v>#DIV/0!</v>
      </c>
      <c r="EE6" s="19" t="e">
        <f t="shared" si="140"/>
        <v>#DIV/0!</v>
      </c>
      <c r="EF6" s="19" t="e">
        <f t="shared" si="140"/>
        <v>#DIV/0!</v>
      </c>
      <c r="EG6" s="19" t="e">
        <f t="shared" si="140"/>
        <v>#DIV/0!</v>
      </c>
      <c r="EH6" s="19" t="e">
        <f t="shared" si="140"/>
        <v>#DIV/0!</v>
      </c>
      <c r="EI6" s="19" t="e">
        <f t="shared" si="140"/>
        <v>#DIV/0!</v>
      </c>
      <c r="EJ6" s="19" t="e">
        <f t="shared" si="140"/>
        <v>#DIV/0!</v>
      </c>
      <c r="EK6" s="19" t="e">
        <f t="shared" si="140"/>
        <v>#DIV/0!</v>
      </c>
      <c r="EL6" s="19" t="e">
        <f t="shared" si="140"/>
        <v>#DIV/0!</v>
      </c>
      <c r="EM6" s="19" t="e">
        <f t="shared" si="140"/>
        <v>#DIV/0!</v>
      </c>
      <c r="EN6" s="19" t="e">
        <f t="shared" si="140"/>
        <v>#DIV/0!</v>
      </c>
      <c r="EO6" s="19" t="e">
        <f t="shared" si="140"/>
        <v>#DIV/0!</v>
      </c>
      <c r="EP6" s="19" t="e">
        <f t="shared" si="140"/>
        <v>#DIV/0!</v>
      </c>
      <c r="EQ6" s="19" t="e">
        <f t="shared" si="140"/>
        <v>#DIV/0!</v>
      </c>
      <c r="ER6" s="19" t="e">
        <f t="shared" si="140"/>
        <v>#DIV/0!</v>
      </c>
      <c r="ES6" s="19" t="e">
        <f t="shared" si="140"/>
        <v>#DIV/0!</v>
      </c>
      <c r="ET6" s="19" t="e">
        <f t="shared" si="140"/>
        <v>#DIV/0!</v>
      </c>
      <c r="EU6" s="19" t="e">
        <f t="shared" si="140"/>
        <v>#DIV/0!</v>
      </c>
      <c r="EV6" s="19" t="e">
        <f t="shared" si="140"/>
        <v>#DIV/0!</v>
      </c>
      <c r="EW6" s="19" t="e">
        <f t="shared" ref="EW6:EY6" si="141">EW4/EW2</f>
        <v>#DIV/0!</v>
      </c>
      <c r="EX6" s="19" t="e">
        <f t="shared" si="141"/>
        <v>#DIV/0!</v>
      </c>
      <c r="EY6" s="19" t="e">
        <f t="shared" si="141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>
        <f t="shared" ref="E7:AW7" si="142">E4/E3</f>
        <v>0.99768989559859156</v>
      </c>
      <c r="F7" s="20">
        <f t="shared" si="142"/>
        <v>0.88442746478873246</v>
      </c>
      <c r="G7" s="20">
        <f t="shared" si="142"/>
        <v>0.85734999999999983</v>
      </c>
      <c r="H7" s="20">
        <f t="shared" si="142"/>
        <v>0.87697430952464783</v>
      </c>
      <c r="I7" s="20">
        <f t="shared" si="142"/>
        <v>1.1023749999999999</v>
      </c>
      <c r="J7" s="20">
        <f t="shared" si="142"/>
        <v>1.0341997945205479</v>
      </c>
      <c r="K7" s="20">
        <f t="shared" si="142"/>
        <v>0.95206447830985907</v>
      </c>
      <c r="L7" s="20">
        <f t="shared" si="142"/>
        <v>1.0201532444444446</v>
      </c>
      <c r="M7" s="20">
        <f t="shared" si="142"/>
        <v>1.0108692621176469</v>
      </c>
      <c r="N7" s="20">
        <f t="shared" si="142"/>
        <v>0.92214081551515148</v>
      </c>
      <c r="O7" s="20">
        <f t="shared" si="142"/>
        <v>0.94329921882352941</v>
      </c>
      <c r="P7" s="20">
        <f t="shared" si="142"/>
        <v>0.9016047301818183</v>
      </c>
      <c r="Q7" s="20">
        <f t="shared" si="142"/>
        <v>1.0791800028070175</v>
      </c>
      <c r="R7" s="20">
        <f t="shared" si="142"/>
        <v>1.2130213586440677</v>
      </c>
      <c r="S7" s="20">
        <f t="shared" si="142"/>
        <v>1.1957218898113209</v>
      </c>
      <c r="T7" s="20">
        <f t="shared" si="142"/>
        <v>1.0595255095652174</v>
      </c>
      <c r="U7" s="20">
        <f t="shared" si="142"/>
        <v>0.88503183323943657</v>
      </c>
      <c r="V7" s="20">
        <f t="shared" si="142"/>
        <v>1.0418180022857144</v>
      </c>
      <c r="W7" s="20">
        <f t="shared" si="142"/>
        <v>0.98684210526315785</v>
      </c>
      <c r="X7" s="20">
        <f t="shared" si="142"/>
        <v>1.1466666666666667</v>
      </c>
      <c r="Y7" s="20">
        <f t="shared" si="142"/>
        <v>1.1666666666666667</v>
      </c>
      <c r="Z7" s="20">
        <f t="shared" si="142"/>
        <v>1.1686746987951808</v>
      </c>
      <c r="AA7" s="20">
        <f t="shared" si="142"/>
        <v>1.1162790697674418</v>
      </c>
      <c r="AB7" s="20">
        <f>AB5/AB3</f>
        <v>1.3495145631067962</v>
      </c>
      <c r="AC7" s="20">
        <f t="shared" ref="AC7:AR7" si="143">AC5/AC3</f>
        <v>1.2277227722772277</v>
      </c>
      <c r="AD7" s="20">
        <f t="shared" si="143"/>
        <v>1.2210526315789474</v>
      </c>
      <c r="AE7" s="20">
        <f t="shared" si="143"/>
        <v>1.2333333333333334</v>
      </c>
      <c r="AF7" s="20">
        <f t="shared" si="143"/>
        <v>1.2</v>
      </c>
      <c r="AG7" s="20">
        <f t="shared" si="143"/>
        <v>1.1386138613861385</v>
      </c>
      <c r="AH7" s="20">
        <f t="shared" si="143"/>
        <v>1.2526315789473683</v>
      </c>
      <c r="AI7" s="20">
        <f t="shared" si="143"/>
        <v>1.4268292682926829</v>
      </c>
      <c r="AJ7" s="20">
        <f t="shared" si="143"/>
        <v>1.3975903614457832</v>
      </c>
      <c r="AK7" s="20">
        <f t="shared" si="143"/>
        <v>1.6111111111111112</v>
      </c>
      <c r="AL7" s="20">
        <f t="shared" si="143"/>
        <v>1.6176470588235294</v>
      </c>
      <c r="AM7" s="20">
        <f t="shared" si="143"/>
        <v>1.7843137254901962</v>
      </c>
      <c r="AN7" s="20">
        <f t="shared" si="143"/>
        <v>2</v>
      </c>
      <c r="AO7" s="20">
        <f t="shared" si="143"/>
        <v>1.4375</v>
      </c>
      <c r="AP7" s="20">
        <f t="shared" si="143"/>
        <v>1.5454545454545454</v>
      </c>
      <c r="AQ7" s="20">
        <f t="shared" si="143"/>
        <v>1.4375</v>
      </c>
      <c r="AR7" s="20">
        <f t="shared" si="143"/>
        <v>1.5227272727272727</v>
      </c>
      <c r="AS7" s="20">
        <f t="shared" si="142"/>
        <v>1.263157894736842</v>
      </c>
      <c r="AT7" s="20">
        <f t="shared" si="142"/>
        <v>1.3823529411764706</v>
      </c>
      <c r="AU7" s="20">
        <f t="shared" si="142"/>
        <v>1.3823529411764706</v>
      </c>
      <c r="AV7" s="20">
        <f t="shared" si="142"/>
        <v>1.3529411764705883</v>
      </c>
      <c r="AW7" s="20">
        <f t="shared" si="142"/>
        <v>1.2571428571428571</v>
      </c>
      <c r="AX7" s="20">
        <f t="shared" ref="AX7:AZ7" si="144">AX4/AX3</f>
        <v>1</v>
      </c>
      <c r="AY7" s="20">
        <f t="shared" si="144"/>
        <v>0.82499999999999996</v>
      </c>
      <c r="AZ7" s="20">
        <f t="shared" si="144"/>
        <v>1.0249999999999999</v>
      </c>
      <c r="BA7" s="20">
        <f t="shared" ref="BA7:BB7" si="145">BA4/BA3</f>
        <v>1</v>
      </c>
      <c r="BB7" s="20">
        <f t="shared" si="145"/>
        <v>0.97499999999999998</v>
      </c>
      <c r="BC7" s="20">
        <f t="shared" ref="BC7:BG7" si="146">BC4/BC3</f>
        <v>0.8</v>
      </c>
      <c r="BD7" s="20">
        <f t="shared" si="146"/>
        <v>1.1000000000000001</v>
      </c>
      <c r="BE7" s="20">
        <f t="shared" si="146"/>
        <v>1.0249999999999999</v>
      </c>
      <c r="BF7" s="20">
        <f t="shared" si="146"/>
        <v>1.05</v>
      </c>
      <c r="BG7" s="20">
        <f t="shared" si="146"/>
        <v>0.8</v>
      </c>
      <c r="BH7" s="20">
        <f t="shared" ref="BH7:BM7" si="147">BH4/BH3</f>
        <v>1.1052631578947369</v>
      </c>
      <c r="BI7" s="20">
        <f t="shared" si="147"/>
        <v>1.1052631578947369</v>
      </c>
      <c r="BJ7" s="20">
        <f t="shared" si="147"/>
        <v>0.96</v>
      </c>
      <c r="BK7" s="20">
        <f t="shared" si="147"/>
        <v>0.96</v>
      </c>
      <c r="BL7" s="20">
        <f t="shared" si="147"/>
        <v>0.96</v>
      </c>
      <c r="BM7" s="20">
        <f t="shared" si="147"/>
        <v>0.88</v>
      </c>
      <c r="BN7" s="20">
        <f t="shared" ref="BN7:BO7" si="148">BN4/BN3</f>
        <v>0.96</v>
      </c>
      <c r="BO7" s="20">
        <f t="shared" si="148"/>
        <v>1</v>
      </c>
      <c r="BP7" s="20">
        <f t="shared" ref="BP7:CW7" si="149">BP4/BP3</f>
        <v>0.95833333333333337</v>
      </c>
      <c r="BQ7" s="20">
        <f t="shared" si="149"/>
        <v>0.91666666666666663</v>
      </c>
      <c r="BR7" s="20">
        <f t="shared" si="149"/>
        <v>0.93617021276595747</v>
      </c>
      <c r="BS7" s="20">
        <f t="shared" si="149"/>
        <v>0.8936170212765957</v>
      </c>
      <c r="BT7" s="20">
        <f>BT4/BT3</f>
        <v>0.8936170212765957</v>
      </c>
      <c r="BU7" s="20">
        <f t="shared" si="149"/>
        <v>1</v>
      </c>
      <c r="BV7" s="20">
        <f>BV4/BV3</f>
        <v>0.93333333333333335</v>
      </c>
      <c r="BW7" s="20">
        <f t="shared" si="149"/>
        <v>0.84444444444444444</v>
      </c>
      <c r="BX7" s="20">
        <f t="shared" si="149"/>
        <v>1.0526315789473684</v>
      </c>
      <c r="BY7" s="20" t="e">
        <f t="shared" si="149"/>
        <v>#DIV/0!</v>
      </c>
      <c r="BZ7" s="20" t="e">
        <f t="shared" si="149"/>
        <v>#DIV/0!</v>
      </c>
      <c r="CA7" s="20" t="e">
        <f t="shared" si="149"/>
        <v>#DIV/0!</v>
      </c>
      <c r="CB7" s="20" t="e">
        <f t="shared" si="149"/>
        <v>#DIV/0!</v>
      </c>
      <c r="CC7" s="20" t="e">
        <f t="shared" si="149"/>
        <v>#DIV/0!</v>
      </c>
      <c r="CD7" s="20" t="e">
        <f t="shared" si="149"/>
        <v>#DIV/0!</v>
      </c>
      <c r="CE7" s="20" t="e">
        <f t="shared" si="149"/>
        <v>#DIV/0!</v>
      </c>
      <c r="CF7" s="20" t="e">
        <f t="shared" si="149"/>
        <v>#DIV/0!</v>
      </c>
      <c r="CG7" s="20" t="e">
        <f t="shared" si="149"/>
        <v>#DIV/0!</v>
      </c>
      <c r="CH7" s="20" t="e">
        <f t="shared" si="149"/>
        <v>#DIV/0!</v>
      </c>
      <c r="CI7" s="20" t="e">
        <f t="shared" si="149"/>
        <v>#DIV/0!</v>
      </c>
      <c r="CJ7" s="20" t="e">
        <f t="shared" si="149"/>
        <v>#DIV/0!</v>
      </c>
      <c r="CK7" s="20" t="e">
        <f t="shared" si="149"/>
        <v>#DIV/0!</v>
      </c>
      <c r="CL7" s="20" t="e">
        <f t="shared" si="149"/>
        <v>#DIV/0!</v>
      </c>
      <c r="CM7" s="20" t="e">
        <f t="shared" si="149"/>
        <v>#DIV/0!</v>
      </c>
      <c r="CN7" s="20" t="e">
        <f t="shared" si="149"/>
        <v>#DIV/0!</v>
      </c>
      <c r="CO7" s="20" t="e">
        <f t="shared" si="149"/>
        <v>#DIV/0!</v>
      </c>
      <c r="CP7" s="20" t="e">
        <f t="shared" si="149"/>
        <v>#DIV/0!</v>
      </c>
      <c r="CQ7" s="20" t="e">
        <f t="shared" si="149"/>
        <v>#DIV/0!</v>
      </c>
      <c r="CR7" s="20" t="e">
        <f t="shared" si="149"/>
        <v>#DIV/0!</v>
      </c>
      <c r="CS7" s="20" t="e">
        <f t="shared" si="149"/>
        <v>#DIV/0!</v>
      </c>
      <c r="CT7" s="20" t="e">
        <f t="shared" si="149"/>
        <v>#DIV/0!</v>
      </c>
      <c r="CU7" s="20" t="e">
        <f t="shared" si="149"/>
        <v>#DIV/0!</v>
      </c>
      <c r="CV7" s="20" t="e">
        <f t="shared" si="149"/>
        <v>#DIV/0!</v>
      </c>
      <c r="CW7" s="20" t="e">
        <f t="shared" si="149"/>
        <v>#DIV/0!</v>
      </c>
      <c r="CX7" s="20" t="e">
        <f t="shared" ref="CX7:CY7" si="150">CX4/CX3</f>
        <v>#DIV/0!</v>
      </c>
      <c r="CY7" s="20" t="e">
        <f t="shared" si="150"/>
        <v>#DIV/0!</v>
      </c>
      <c r="CZ7" s="20" t="e">
        <f t="shared" ref="CZ7:EV7" si="151">CZ4/CZ3</f>
        <v>#DIV/0!</v>
      </c>
      <c r="DA7" s="20" t="e">
        <f t="shared" si="151"/>
        <v>#DIV/0!</v>
      </c>
      <c r="DB7" s="20" t="e">
        <f t="shared" si="151"/>
        <v>#DIV/0!</v>
      </c>
      <c r="DC7" s="20" t="e">
        <f t="shared" si="151"/>
        <v>#DIV/0!</v>
      </c>
      <c r="DD7" s="20" t="e">
        <f t="shared" si="151"/>
        <v>#DIV/0!</v>
      </c>
      <c r="DE7" s="20" t="e">
        <f t="shared" si="151"/>
        <v>#DIV/0!</v>
      </c>
      <c r="DF7" s="20" t="e">
        <f t="shared" si="151"/>
        <v>#DIV/0!</v>
      </c>
      <c r="DG7" s="20" t="e">
        <f t="shared" si="151"/>
        <v>#DIV/0!</v>
      </c>
      <c r="DH7" s="20" t="e">
        <f t="shared" si="151"/>
        <v>#DIV/0!</v>
      </c>
      <c r="DI7" s="20" t="e">
        <f t="shared" si="151"/>
        <v>#DIV/0!</v>
      </c>
      <c r="DJ7" s="20" t="e">
        <f t="shared" si="151"/>
        <v>#DIV/0!</v>
      </c>
      <c r="DK7" s="20" t="e">
        <f t="shared" si="151"/>
        <v>#DIV/0!</v>
      </c>
      <c r="DL7" s="20" t="e">
        <f t="shared" si="151"/>
        <v>#DIV/0!</v>
      </c>
      <c r="DM7" s="20" t="e">
        <f t="shared" si="151"/>
        <v>#DIV/0!</v>
      </c>
      <c r="DN7" s="20" t="e">
        <f t="shared" si="151"/>
        <v>#DIV/0!</v>
      </c>
      <c r="DO7" s="20" t="e">
        <f t="shared" si="151"/>
        <v>#DIV/0!</v>
      </c>
      <c r="DP7" s="20" t="e">
        <f t="shared" si="151"/>
        <v>#DIV/0!</v>
      </c>
      <c r="DQ7" s="20" t="e">
        <f t="shared" si="151"/>
        <v>#DIV/0!</v>
      </c>
      <c r="DR7" s="20" t="e">
        <f t="shared" si="151"/>
        <v>#DIV/0!</v>
      </c>
      <c r="DS7" s="20" t="e">
        <f t="shared" si="151"/>
        <v>#DIV/0!</v>
      </c>
      <c r="DT7" s="20" t="e">
        <f t="shared" si="151"/>
        <v>#DIV/0!</v>
      </c>
      <c r="DU7" s="20" t="e">
        <f t="shared" si="151"/>
        <v>#DIV/0!</v>
      </c>
      <c r="DV7" s="20" t="e">
        <f t="shared" si="151"/>
        <v>#DIV/0!</v>
      </c>
      <c r="DW7" s="20" t="e">
        <f t="shared" si="151"/>
        <v>#DIV/0!</v>
      </c>
      <c r="DX7" s="20" t="e">
        <f t="shared" si="151"/>
        <v>#DIV/0!</v>
      </c>
      <c r="DY7" s="20" t="e">
        <f t="shared" si="151"/>
        <v>#DIV/0!</v>
      </c>
      <c r="DZ7" s="20" t="e">
        <f t="shared" si="151"/>
        <v>#DIV/0!</v>
      </c>
      <c r="EA7" s="20" t="e">
        <f t="shared" si="151"/>
        <v>#DIV/0!</v>
      </c>
      <c r="EB7" s="20" t="e">
        <f t="shared" si="151"/>
        <v>#DIV/0!</v>
      </c>
      <c r="EC7" s="20" t="e">
        <f t="shared" si="151"/>
        <v>#DIV/0!</v>
      </c>
      <c r="ED7" s="20" t="e">
        <f t="shared" si="151"/>
        <v>#DIV/0!</v>
      </c>
      <c r="EE7" s="20" t="e">
        <f t="shared" si="151"/>
        <v>#DIV/0!</v>
      </c>
      <c r="EF7" s="20" t="e">
        <f t="shared" si="151"/>
        <v>#DIV/0!</v>
      </c>
      <c r="EG7" s="20" t="e">
        <f t="shared" si="151"/>
        <v>#DIV/0!</v>
      </c>
      <c r="EH7" s="20" t="e">
        <f t="shared" si="151"/>
        <v>#DIV/0!</v>
      </c>
      <c r="EI7" s="20" t="e">
        <f t="shared" si="151"/>
        <v>#DIV/0!</v>
      </c>
      <c r="EJ7" s="20" t="e">
        <f t="shared" si="151"/>
        <v>#DIV/0!</v>
      </c>
      <c r="EK7" s="20" t="e">
        <f t="shared" si="151"/>
        <v>#DIV/0!</v>
      </c>
      <c r="EL7" s="20" t="e">
        <f t="shared" si="151"/>
        <v>#DIV/0!</v>
      </c>
      <c r="EM7" s="20" t="e">
        <f t="shared" si="151"/>
        <v>#DIV/0!</v>
      </c>
      <c r="EN7" s="20" t="e">
        <f t="shared" si="151"/>
        <v>#DIV/0!</v>
      </c>
      <c r="EO7" s="20" t="e">
        <f t="shared" si="151"/>
        <v>#DIV/0!</v>
      </c>
      <c r="EP7" s="20" t="e">
        <f t="shared" si="151"/>
        <v>#DIV/0!</v>
      </c>
      <c r="EQ7" s="20" t="e">
        <f t="shared" si="151"/>
        <v>#DIV/0!</v>
      </c>
      <c r="ER7" s="20" t="e">
        <f t="shared" si="151"/>
        <v>#DIV/0!</v>
      </c>
      <c r="ES7" s="20" t="e">
        <f t="shared" si="151"/>
        <v>#DIV/0!</v>
      </c>
      <c r="ET7" s="20" t="e">
        <f t="shared" si="151"/>
        <v>#DIV/0!</v>
      </c>
      <c r="EU7" s="20" t="e">
        <f t="shared" si="151"/>
        <v>#DIV/0!</v>
      </c>
      <c r="EV7" s="20" t="e">
        <f t="shared" si="151"/>
        <v>#DIV/0!</v>
      </c>
      <c r="EW7" s="20" t="e">
        <f t="shared" ref="EW7:EY7" si="152">EW4/EW3</f>
        <v>#DIV/0!</v>
      </c>
      <c r="EX7" s="20" t="e">
        <f t="shared" si="152"/>
        <v>#DIV/0!</v>
      </c>
      <c r="EY7" s="20" t="e">
        <f t="shared" si="152"/>
        <v>#DIV/0!</v>
      </c>
    </row>
    <row r="8" spans="1:155" hidden="1" outlineLevel="1" x14ac:dyDescent="0.3">
      <c r="AL8" s="26"/>
      <c r="AP8" s="26"/>
      <c r="AT8" s="26"/>
    </row>
    <row r="9" spans="1:155" collapsed="1" x14ac:dyDescent="0.3">
      <c r="A9" s="37" t="s">
        <v>33</v>
      </c>
      <c r="B9" s="37" t="s">
        <v>18</v>
      </c>
      <c r="C9" s="37" t="s">
        <v>23</v>
      </c>
      <c r="D9" s="15" t="s">
        <v>13</v>
      </c>
      <c r="E9" s="23">
        <v>148.62017402283286</v>
      </c>
      <c r="F9" s="23">
        <v>148.62017402283286</v>
      </c>
      <c r="G9" s="23">
        <v>150.07781987061551</v>
      </c>
      <c r="H9" s="23">
        <v>150.07781987061551</v>
      </c>
      <c r="I9" s="23">
        <v>150.07781987061551</v>
      </c>
      <c r="J9" s="23">
        <v>150.07781987061551</v>
      </c>
      <c r="K9" s="23">
        <v>141.20222361899539</v>
      </c>
      <c r="L9" s="23">
        <v>141.20222361899539</v>
      </c>
      <c r="M9" s="23">
        <v>141.20222361899539</v>
      </c>
      <c r="N9" s="23">
        <v>141.20222361899539</v>
      </c>
      <c r="O9" s="23">
        <v>146.46971344460658</v>
      </c>
      <c r="P9" s="23">
        <v>146.46971344460658</v>
      </c>
      <c r="Q9" s="23">
        <v>146.46971344460658</v>
      </c>
      <c r="R9" s="23">
        <v>146.46971344460658</v>
      </c>
      <c r="S9" s="23">
        <v>171.39215273870957</v>
      </c>
      <c r="T9" s="23">
        <v>171.39215273870957</v>
      </c>
      <c r="U9" s="23">
        <v>171.39215273870957</v>
      </c>
      <c r="V9" s="23">
        <v>171.39215273870957</v>
      </c>
      <c r="W9" s="23">
        <v>171.39215273870957</v>
      </c>
      <c r="X9" s="23">
        <v>167.16921055661743</v>
      </c>
      <c r="Y9" s="23">
        <v>167.16921055661743</v>
      </c>
      <c r="Z9" s="23">
        <v>167.16921055661743</v>
      </c>
      <c r="AA9" s="23">
        <v>167.16921055661743</v>
      </c>
      <c r="AB9" s="23">
        <v>186.05511488473846</v>
      </c>
      <c r="AC9" s="23">
        <v>186.05511488473846</v>
      </c>
      <c r="AD9" s="23">
        <v>186.05511488473846</v>
      </c>
      <c r="AE9" s="23">
        <v>186.05511488473846</v>
      </c>
      <c r="AF9" s="23">
        <v>186.05511488473846</v>
      </c>
      <c r="AG9" s="23">
        <v>168.11118527669339</v>
      </c>
      <c r="AH9" s="23">
        <v>168.11118527669339</v>
      </c>
      <c r="AI9" s="23">
        <v>168.11118527669339</v>
      </c>
      <c r="AJ9" s="23">
        <v>168.11118527669339</v>
      </c>
      <c r="AK9" s="23">
        <v>140.37347818800333</v>
      </c>
      <c r="AL9" s="23">
        <v>140.37347818800333</v>
      </c>
      <c r="AM9" s="23">
        <v>140.37347818800333</v>
      </c>
      <c r="AN9" s="23">
        <v>140.37347818800333</v>
      </c>
      <c r="AO9" s="23">
        <v>140.33540387133107</v>
      </c>
      <c r="AP9" s="23">
        <v>140.33540387133107</v>
      </c>
      <c r="AQ9" s="23">
        <v>140.33540387133107</v>
      </c>
      <c r="AR9" s="23">
        <v>140.33540387133107</v>
      </c>
      <c r="AS9" s="23">
        <v>140.33540387133107</v>
      </c>
      <c r="AT9" s="23">
        <v>131.81030225160256</v>
      </c>
      <c r="AU9" s="23">
        <v>131.81030225160256</v>
      </c>
      <c r="AV9" s="23">
        <v>131.81030225160256</v>
      </c>
      <c r="AW9" s="23">
        <v>131.81030225160256</v>
      </c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</row>
    <row r="10" spans="1:155" x14ac:dyDescent="0.3">
      <c r="A10" s="38"/>
      <c r="B10" s="38"/>
      <c r="C10" s="38"/>
      <c r="D10" s="15" t="s">
        <v>14</v>
      </c>
      <c r="E10" s="21">
        <v>166.53242391242341</v>
      </c>
      <c r="F10" s="21">
        <v>190.04197115033679</v>
      </c>
      <c r="G10" s="21">
        <v>235.65278625927337</v>
      </c>
      <c r="H10" s="21">
        <v>222.94445721447022</v>
      </c>
      <c r="I10" s="21">
        <v>220.07848179270462</v>
      </c>
      <c r="J10" s="21">
        <v>218.15530063703443</v>
      </c>
      <c r="K10" s="21">
        <v>179.11024389614965</v>
      </c>
      <c r="L10" s="21">
        <v>160.01033343010977</v>
      </c>
      <c r="M10" s="21">
        <v>147.43821826135144</v>
      </c>
      <c r="N10" s="21">
        <v>141.29027831580223</v>
      </c>
      <c r="O10" s="21">
        <v>151.6967550796299</v>
      </c>
      <c r="P10" s="21">
        <v>165.12525498393742</v>
      </c>
      <c r="Q10" s="21">
        <v>153.92525226654521</v>
      </c>
      <c r="R10" s="21">
        <v>155.01541619548848</v>
      </c>
      <c r="S10" s="21">
        <v>170.4723004144646</v>
      </c>
      <c r="T10" s="21">
        <v>183.41745515052759</v>
      </c>
      <c r="U10" s="21">
        <v>171.70992214504835</v>
      </c>
      <c r="V10" s="21">
        <v>181.82434617224845</v>
      </c>
      <c r="W10" s="21">
        <v>178.35256895582091</v>
      </c>
      <c r="X10" s="21">
        <v>172.27710279767672</v>
      </c>
      <c r="Y10" s="21">
        <v>168.48263908782837</v>
      </c>
      <c r="Z10" s="21">
        <v>149.89957218445539</v>
      </c>
      <c r="AA10" s="21">
        <v>154.71296831959114</v>
      </c>
      <c r="AB10" s="21">
        <v>106.08259093857335</v>
      </c>
      <c r="AC10" s="21">
        <v>119.30523870607431</v>
      </c>
      <c r="AD10" s="21">
        <v>114.35479059292862</v>
      </c>
      <c r="AE10" s="21">
        <v>111.54679370955172</v>
      </c>
      <c r="AF10" s="21">
        <v>108.52278429283632</v>
      </c>
      <c r="AG10" s="21">
        <v>97.737105521961283</v>
      </c>
      <c r="AH10" s="21">
        <v>104.24141124562465</v>
      </c>
      <c r="AI10" s="21">
        <v>89.720723594580718</v>
      </c>
      <c r="AJ10" s="21">
        <v>98.321841089967592</v>
      </c>
      <c r="AK10" s="21">
        <v>100.66395833452172</v>
      </c>
      <c r="AL10" s="21">
        <v>92.12434370655005</v>
      </c>
      <c r="AM10" s="21">
        <v>98.957439603774048</v>
      </c>
      <c r="AN10" s="21">
        <v>105.07855124367593</v>
      </c>
      <c r="AO10" s="21">
        <v>100.91156278770528</v>
      </c>
      <c r="AP10" s="21">
        <v>90.606395486113712</v>
      </c>
      <c r="AQ10" s="21">
        <v>91.721449313068476</v>
      </c>
      <c r="AR10" s="21">
        <v>96.161523933547329</v>
      </c>
      <c r="AS10" s="21">
        <v>76.24395511763413</v>
      </c>
      <c r="AT10" s="21">
        <v>110.34279228095009</v>
      </c>
      <c r="AU10" s="21">
        <v>103.10258471975297</v>
      </c>
      <c r="AV10" s="21">
        <v>98.846552077311571</v>
      </c>
      <c r="AW10" s="21">
        <v>65.552246903970754</v>
      </c>
      <c r="AX10" s="21">
        <v>88.987826086956517</v>
      </c>
      <c r="AY10" s="21">
        <v>109.56521739130434</v>
      </c>
      <c r="AZ10" s="21">
        <v>106.66666666666667</v>
      </c>
      <c r="BA10" s="21">
        <v>85.333333333333329</v>
      </c>
      <c r="BB10" s="21">
        <v>106.66666666666667</v>
      </c>
      <c r="BC10" s="21">
        <v>112</v>
      </c>
      <c r="BD10" s="21">
        <v>110.22222222222221</v>
      </c>
      <c r="BE10" s="21">
        <v>104.88888888888889</v>
      </c>
      <c r="BF10" s="21">
        <v>113.77777777777779</v>
      </c>
      <c r="BG10" s="21">
        <v>110.22222222222221</v>
      </c>
      <c r="BH10" s="21">
        <v>108.44444444444444</v>
      </c>
      <c r="BI10" s="21">
        <v>99.555555555555543</v>
      </c>
      <c r="BJ10" s="21">
        <v>115.55555555555554</v>
      </c>
      <c r="BK10" s="21">
        <v>107.29411764705883</v>
      </c>
      <c r="BL10" s="21">
        <v>109.17647058823529</v>
      </c>
      <c r="BM10" s="21">
        <v>99.764705882352942</v>
      </c>
      <c r="BN10" s="21">
        <v>97.882352941176464</v>
      </c>
      <c r="BO10" s="21">
        <v>105.41176470588235</v>
      </c>
      <c r="BP10" s="21">
        <v>111.05882352941177</v>
      </c>
      <c r="BQ10" s="21">
        <v>105.41176470588235</v>
      </c>
      <c r="BR10" s="21">
        <v>105.41176470588235</v>
      </c>
      <c r="BS10" s="21">
        <v>96.376470588235293</v>
      </c>
      <c r="BT10" s="21">
        <v>120.47058823529413</v>
      </c>
      <c r="BU10" s="21">
        <v>114.82352941176471</v>
      </c>
      <c r="BV10" s="21">
        <v>107.29411764705883</v>
      </c>
      <c r="BW10" s="21">
        <v>109.17647058823529</v>
      </c>
      <c r="BX10" s="21">
        <v>97.882352941176464</v>
      </c>
      <c r="BY10" s="21">
        <v>118.58823529411765</v>
      </c>
      <c r="BZ10" s="21">
        <v>105.41176470588235</v>
      </c>
      <c r="CA10" s="21">
        <v>107.29411764705883</v>
      </c>
      <c r="CB10" s="21">
        <v>107.82608695652173</v>
      </c>
      <c r="CC10" s="21">
        <v>116.52173913043477</v>
      </c>
      <c r="CD10" s="21">
        <v>109.56521739130434</v>
      </c>
      <c r="CE10" s="21">
        <v>111.05882352941177</v>
      </c>
      <c r="CF10" s="21">
        <v>112.94117647058823</v>
      </c>
      <c r="CG10" s="21">
        <v>79.811764705882354</v>
      </c>
      <c r="CH10" s="21">
        <v>92.235294117647058</v>
      </c>
      <c r="CI10" s="21">
        <v>82.758620689655174</v>
      </c>
      <c r="CJ10" s="21">
        <v>84.597701149425291</v>
      </c>
      <c r="CK10" s="21">
        <v>86.436781609195393</v>
      </c>
      <c r="CL10" s="21">
        <v>79.080459770114942</v>
      </c>
      <c r="CM10" s="21">
        <v>72.727272727272734</v>
      </c>
      <c r="CN10" s="21">
        <v>72.727272727272734</v>
      </c>
      <c r="CO10" s="21">
        <v>76.36363636363636</v>
      </c>
      <c r="CP10" s="21">
        <v>83.63636363636364</v>
      </c>
      <c r="CQ10" s="21">
        <v>80</v>
      </c>
      <c r="CR10" s="21">
        <v>76.36363636363636</v>
      </c>
      <c r="CS10" s="21">
        <v>50.909090909090907</v>
      </c>
      <c r="CT10" s="21">
        <v>80</v>
      </c>
      <c r="CU10" s="21">
        <v>72.727272727272734</v>
      </c>
      <c r="CV10" s="21">
        <v>65.454545454545453</v>
      </c>
      <c r="CW10" s="21">
        <v>32</v>
      </c>
      <c r="CX10" s="21">
        <v>56.727272727272734</v>
      </c>
      <c r="CY10" s="21">
        <v>96.36363636363636</v>
      </c>
      <c r="CZ10" s="21">
        <v>89.090909090909093</v>
      </c>
      <c r="DA10" s="21">
        <v>66.909090909090907</v>
      </c>
      <c r="DB10" s="21">
        <v>90.909090909090907</v>
      </c>
      <c r="DC10" s="21">
        <v>89.090909090909093</v>
      </c>
      <c r="DD10" s="21">
        <v>81.818181818181813</v>
      </c>
      <c r="DE10" s="21">
        <v>83.63636363636364</v>
      </c>
      <c r="DF10" s="21">
        <v>85.454545454545453</v>
      </c>
      <c r="DG10" s="21">
        <v>92.727272727272734</v>
      </c>
      <c r="DH10" s="21">
        <v>89.090909090909093</v>
      </c>
      <c r="DI10" s="21">
        <v>83.63636363636364</v>
      </c>
      <c r="DJ10" s="21">
        <v>83.63636363636364</v>
      </c>
      <c r="DK10" s="21">
        <v>96.36363636363636</v>
      </c>
      <c r="DL10" s="21">
        <v>90.909090909090907</v>
      </c>
      <c r="DM10" s="21">
        <v>83.63636363636364</v>
      </c>
      <c r="DN10" s="21">
        <v>84.705882352941174</v>
      </c>
      <c r="DO10" s="21">
        <v>94.117647058823536</v>
      </c>
      <c r="DP10" s="21">
        <v>93.91304347826086</v>
      </c>
      <c r="DQ10" s="21">
        <v>94.117647058823536</v>
      </c>
      <c r="DR10" s="21">
        <v>92.235294117647058</v>
      </c>
      <c r="DS10" s="21">
        <v>76.8</v>
      </c>
      <c r="DT10" s="21">
        <v>101.64705882352942</v>
      </c>
      <c r="DU10" s="21">
        <v>94.117647058823536</v>
      </c>
      <c r="DV10" s="21">
        <v>92.235294117647058</v>
      </c>
      <c r="DW10" s="21">
        <v>89.090909090909093</v>
      </c>
      <c r="DX10" s="21">
        <v>82.909090909090907</v>
      </c>
      <c r="DY10" s="21">
        <v>98.181818181818187</v>
      </c>
      <c r="DZ10" s="21">
        <v>90.909090909090907</v>
      </c>
      <c r="EA10" s="21">
        <v>90.909090909090907</v>
      </c>
      <c r="EB10" s="21">
        <v>96.36363636363636</v>
      </c>
      <c r="EC10" s="21">
        <v>101.81818181818181</v>
      </c>
      <c r="ED10" s="21">
        <v>90.909090909090907</v>
      </c>
      <c r="EE10" s="21">
        <v>90.909090909090907</v>
      </c>
      <c r="EF10" s="21">
        <v>92.727272727272734</v>
      </c>
      <c r="EG10" s="21">
        <v>100</v>
      </c>
      <c r="EH10" s="21">
        <v>77.090909090909093</v>
      </c>
      <c r="EI10" s="21">
        <v>89.090909090909093</v>
      </c>
      <c r="EJ10" s="21">
        <v>89.090909090909093</v>
      </c>
      <c r="EK10" s="21">
        <v>96.36363636363636</v>
      </c>
      <c r="EL10" s="21">
        <v>89.090909090909093</v>
      </c>
      <c r="EM10" s="21">
        <v>83.63636363636364</v>
      </c>
      <c r="EN10" s="21">
        <v>83.63636363636364</v>
      </c>
      <c r="EO10" s="21">
        <v>85.454545454545453</v>
      </c>
      <c r="EP10" s="21">
        <v>81.818181818181813</v>
      </c>
      <c r="EQ10" s="21">
        <v>76.36363636363636</v>
      </c>
      <c r="ER10" s="21">
        <v>72.727272727272734</v>
      </c>
      <c r="ES10" s="21">
        <v>46.545454545454547</v>
      </c>
      <c r="ET10" s="21">
        <v>80</v>
      </c>
      <c r="EU10" s="21">
        <v>67.272727272727266</v>
      </c>
      <c r="EV10" s="21">
        <v>60</v>
      </c>
      <c r="EW10" s="21">
        <v>30.909090909090907</v>
      </c>
      <c r="EX10" s="21">
        <v>87.272727272727295</v>
      </c>
      <c r="EY10" s="21">
        <v>87.272727272727295</v>
      </c>
    </row>
    <row r="11" spans="1:155" x14ac:dyDescent="0.3">
      <c r="A11" s="38"/>
      <c r="B11" s="38"/>
      <c r="C11" s="38"/>
      <c r="D11" s="15" t="s">
        <v>28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>
        <v>150.6320070125287</v>
      </c>
      <c r="AC11" s="21">
        <v>163.63357386651253</v>
      </c>
      <c r="AD11" s="21">
        <v>156.84376710043702</v>
      </c>
      <c r="AE11" s="21">
        <v>152.99244782547211</v>
      </c>
      <c r="AF11" s="21">
        <v>148.84485570269692</v>
      </c>
      <c r="AG11" s="21">
        <v>135.85164228005291</v>
      </c>
      <c r="AH11" s="21">
        <v>144.89243195488802</v>
      </c>
      <c r="AI11" s="21">
        <v>122.94821690151713</v>
      </c>
      <c r="AJ11" s="21">
        <v>133.05722908632805</v>
      </c>
      <c r="AK11" s="21">
        <v>136.34560251188097</v>
      </c>
      <c r="AL11" s="21">
        <v>127.96825073836652</v>
      </c>
      <c r="AM11" s="21">
        <v>117.7055852171639</v>
      </c>
      <c r="AN11" s="21">
        <v>124.98638220058511</v>
      </c>
      <c r="AO11" s="21">
        <v>119.14400486963793</v>
      </c>
      <c r="AP11" s="21">
        <v>109.60071955331004</v>
      </c>
      <c r="AQ11" s="21">
        <v>110.40135930797841</v>
      </c>
      <c r="AR11" s="21">
        <v>115.74569563498714</v>
      </c>
      <c r="AS11" s="21">
        <v>91.771732207070428</v>
      </c>
      <c r="AT11" s="21">
        <v>115.1784140205869</v>
      </c>
      <c r="AU11" s="21">
        <v>110.31143713663185</v>
      </c>
      <c r="AV11" s="21">
        <v>105.75782600685986</v>
      </c>
      <c r="AW11" s="21">
        <v>68.424984340266406</v>
      </c>
      <c r="AX11" s="21">
        <v>86.385463984425684</v>
      </c>
      <c r="AY11" s="21">
        <v>130.82414016872161</v>
      </c>
      <c r="AZ11" s="21">
        <v>127.36318407960199</v>
      </c>
      <c r="BA11" s="21">
        <v>99.514091350826035</v>
      </c>
      <c r="BB11" s="21">
        <v>125.86037364798428</v>
      </c>
      <c r="BC11" s="21">
        <v>132.15339233038347</v>
      </c>
      <c r="BD11" s="21">
        <v>130.82756346851301</v>
      </c>
      <c r="BE11" s="21">
        <v>124.49719749423012</v>
      </c>
      <c r="BF11" s="21">
        <v>133.46366894753993</v>
      </c>
      <c r="BG11" s="21">
        <v>129.29292929292927</v>
      </c>
      <c r="BH11" s="21">
        <v>127.58169934640523</v>
      </c>
      <c r="BI11" s="21">
        <v>117.81722550953319</v>
      </c>
      <c r="BJ11" s="21">
        <v>140.06734006734007</v>
      </c>
      <c r="BK11" s="21">
        <v>132.34749925627091</v>
      </c>
      <c r="BL11" s="21">
        <v>134.37104072398191</v>
      </c>
      <c r="BM11" s="21">
        <v>122.56106373753431</v>
      </c>
      <c r="BN11" s="21">
        <v>118.6884357235073</v>
      </c>
      <c r="BO11" s="21">
        <v>128.91251645576904</v>
      </c>
      <c r="BP11" s="21">
        <v>134.66572514782558</v>
      </c>
      <c r="BQ11" s="21">
        <v>129.96149020574819</v>
      </c>
      <c r="BR11" s="21">
        <v>139.15744515628032</v>
      </c>
      <c r="BS11" s="21">
        <v>117.53586461567157</v>
      </c>
      <c r="BT11" s="21">
        <v>148.12336984282686</v>
      </c>
      <c r="BU11" s="21">
        <v>141.18008688144437</v>
      </c>
      <c r="BV11" s="21">
        <v>123.86045327221798</v>
      </c>
      <c r="BW11" s="21">
        <v>127.75902005527506</v>
      </c>
      <c r="BX11" s="21">
        <v>112.99550123079534</v>
      </c>
      <c r="BY11" s="21">
        <v>136.89839572192514</v>
      </c>
      <c r="BZ11" s="21">
        <v>122.02642515603354</v>
      </c>
      <c r="CA11" s="21">
        <v>128.20135484724034</v>
      </c>
      <c r="CB11" s="21">
        <v>124.82128504897064</v>
      </c>
      <c r="CC11" s="21">
        <v>138.85479764698107</v>
      </c>
      <c r="CD11" s="21">
        <v>126.83453158201856</v>
      </c>
      <c r="CE11" s="21">
        <v>129.64695582012172</v>
      </c>
      <c r="CF11" s="21">
        <v>131.10780117023955</v>
      </c>
      <c r="CG11" s="21">
        <v>91.625761304019349</v>
      </c>
      <c r="CH11" s="21">
        <v>105.88826188436198</v>
      </c>
      <c r="CI11" s="21">
        <v>93.714422381151692</v>
      </c>
      <c r="CJ11" s="21">
        <v>95.796965100732834</v>
      </c>
      <c r="CK11" s="21">
        <v>97.879507820313975</v>
      </c>
      <c r="CL11" s="21">
        <v>88.345716821801361</v>
      </c>
      <c r="CM11" s="21">
        <v>81.687354414627151</v>
      </c>
      <c r="CN11" s="21">
        <v>81.687354414627151</v>
      </c>
      <c r="CO11" s="21">
        <v>85.310583844308184</v>
      </c>
      <c r="CP11" s="21">
        <v>93.435401353289933</v>
      </c>
      <c r="CQ11" s="21">
        <v>89.372992598799058</v>
      </c>
      <c r="CR11" s="21">
        <v>85.310583844308184</v>
      </c>
      <c r="CS11" s="21">
        <v>56.873722562872125</v>
      </c>
      <c r="CT11" s="21">
        <v>89.372992598799058</v>
      </c>
      <c r="CU11" s="21">
        <v>81.248175089817337</v>
      </c>
      <c r="CV11" s="21">
        <v>73.918176684975109</v>
      </c>
      <c r="CW11" s="21">
        <v>36.137775268210049</v>
      </c>
      <c r="CX11" s="21">
        <v>64.062419793645105</v>
      </c>
      <c r="CY11" s="21">
        <v>108.82398234176891</v>
      </c>
      <c r="CZ11" s="21">
        <v>100.6108515989939</v>
      </c>
      <c r="DA11" s="21">
        <v>77.67143978418737</v>
      </c>
      <c r="DB11" s="21">
        <v>105.53184753286328</v>
      </c>
      <c r="DC11" s="21">
        <v>103.42121058220602</v>
      </c>
      <c r="DD11" s="21">
        <v>94.97866277957695</v>
      </c>
      <c r="DE11" s="21">
        <v>97.089299730234217</v>
      </c>
      <c r="DF11" s="21">
        <v>98.923613737490669</v>
      </c>
      <c r="DG11" s="21">
        <v>107.34264469387286</v>
      </c>
      <c r="DH11" s="21">
        <v>103.13312921568176</v>
      </c>
      <c r="DI11" s="21">
        <v>96.818855998395122</v>
      </c>
      <c r="DJ11" s="21">
        <v>96.818855998395122</v>
      </c>
      <c r="DK11" s="21">
        <v>111.55216017206394</v>
      </c>
      <c r="DL11" s="21">
        <v>105.2378869547773</v>
      </c>
      <c r="DM11" s="21">
        <v>96.818855998395122</v>
      </c>
      <c r="DN11" s="21">
        <v>98.056948786098374</v>
      </c>
      <c r="DO11" s="21">
        <v>108.95216531788709</v>
      </c>
      <c r="DP11" s="21">
        <v>108.71531278458733</v>
      </c>
      <c r="DQ11" s="21">
        <v>108.95216531788709</v>
      </c>
      <c r="DR11" s="21">
        <v>107.54107805129806</v>
      </c>
      <c r="DS11" s="21">
        <v>89.54440784679511</v>
      </c>
      <c r="DT11" s="21">
        <v>117.22645464598018</v>
      </c>
      <c r="DU11" s="21">
        <v>108.54301356109276</v>
      </c>
      <c r="DV11" s="21">
        <v>106.37215328987091</v>
      </c>
      <c r="DW11" s="21">
        <v>102.74582988226167</v>
      </c>
      <c r="DX11" s="21">
        <v>95.616527400635348</v>
      </c>
      <c r="DY11" s="21">
        <v>113.2300982375945</v>
      </c>
      <c r="DZ11" s="21">
        <v>103.74197296484185</v>
      </c>
      <c r="EA11" s="21">
        <v>103.74197296484185</v>
      </c>
      <c r="EB11" s="21">
        <v>109.39225379002879</v>
      </c>
      <c r="EC11" s="21">
        <v>115.58426815550212</v>
      </c>
      <c r="ED11" s="21">
        <v>104.33430798966046</v>
      </c>
      <c r="EE11" s="21">
        <v>103.20023942455546</v>
      </c>
      <c r="EF11" s="21">
        <v>105.26424421304658</v>
      </c>
      <c r="EG11" s="21">
        <v>113.52026336701101</v>
      </c>
      <c r="EH11" s="21">
        <v>87.513803032023034</v>
      </c>
      <c r="EI11" s="21">
        <v>101.13623463606436</v>
      </c>
      <c r="EJ11" s="21">
        <v>101.13623463606436</v>
      </c>
      <c r="EK11" s="21">
        <v>109.39225379002879</v>
      </c>
      <c r="EL11" s="21">
        <v>101.13623463606436</v>
      </c>
      <c r="EM11" s="21">
        <v>94.944220270591032</v>
      </c>
      <c r="EN11" s="21">
        <v>94.944220270591032</v>
      </c>
      <c r="EO11" s="21">
        <v>97.008225059082136</v>
      </c>
      <c r="EP11" s="21">
        <v>92.880215482099914</v>
      </c>
      <c r="EQ11" s="21">
        <v>86.688201116626587</v>
      </c>
      <c r="ER11" s="21">
        <v>82.560191539644379</v>
      </c>
      <c r="ES11" s="21">
        <v>52.838522585372395</v>
      </c>
      <c r="ET11" s="21">
        <v>90.816210693608809</v>
      </c>
      <c r="EU11" s="21">
        <v>75.154561958081018</v>
      </c>
      <c r="EV11" s="21">
        <v>67.029744449099297</v>
      </c>
      <c r="EW11" s="21">
        <v>34.530474413172357</v>
      </c>
      <c r="EX11" s="21">
        <v>97.497810107780793</v>
      </c>
      <c r="EY11" s="21">
        <v>97.497810107780793</v>
      </c>
    </row>
    <row r="12" spans="1:155" x14ac:dyDescent="0.3">
      <c r="A12" s="38"/>
      <c r="B12" s="38"/>
      <c r="C12" s="38"/>
      <c r="D12" s="15" t="s">
        <v>15</v>
      </c>
      <c r="E12" s="22">
        <v>195</v>
      </c>
      <c r="F12" s="22">
        <v>195</v>
      </c>
      <c r="G12" s="22">
        <v>223</v>
      </c>
      <c r="H12" s="22">
        <v>214</v>
      </c>
      <c r="I12" s="22">
        <v>207</v>
      </c>
      <c r="J12" s="22">
        <v>197</v>
      </c>
      <c r="K12" s="22">
        <v>184</v>
      </c>
      <c r="L12" s="22">
        <v>174</v>
      </c>
      <c r="M12" s="22">
        <v>167</v>
      </c>
      <c r="N12" s="22">
        <v>163</v>
      </c>
      <c r="O12" s="22">
        <v>156</v>
      </c>
      <c r="P12" s="22">
        <v>171</v>
      </c>
      <c r="Q12" s="22">
        <v>165</v>
      </c>
      <c r="R12" s="22">
        <v>181</v>
      </c>
      <c r="S12" s="22">
        <v>176</v>
      </c>
      <c r="T12" s="22">
        <v>177</v>
      </c>
      <c r="U12" s="22">
        <v>176.34165065417534</v>
      </c>
      <c r="V12" s="22">
        <v>171</v>
      </c>
      <c r="W12" s="22">
        <v>179.20442736445369</v>
      </c>
      <c r="X12" s="22">
        <v>177.42241676358302</v>
      </c>
      <c r="Y12" s="22">
        <v>171.14968968443765</v>
      </c>
      <c r="Z12" s="22">
        <v>160.81403175075772</v>
      </c>
      <c r="AA12" s="22">
        <v>154.15999459797061</v>
      </c>
      <c r="AB12" s="22">
        <v>172.04</v>
      </c>
      <c r="AC12" s="22">
        <v>162.88</v>
      </c>
      <c r="AD12" s="22">
        <v>155.88</v>
      </c>
      <c r="AE12" s="22">
        <v>148.88</v>
      </c>
      <c r="AF12" s="22">
        <v>138.88</v>
      </c>
      <c r="AG12" s="22">
        <v>132.88</v>
      </c>
      <c r="AH12" s="22">
        <v>138.88</v>
      </c>
      <c r="AI12" s="22">
        <v>126.88</v>
      </c>
      <c r="AJ12" s="22">
        <v>137.88</v>
      </c>
      <c r="AK12" s="22">
        <v>138.88</v>
      </c>
      <c r="AL12" s="22">
        <v>127.88</v>
      </c>
      <c r="AM12" s="22">
        <v>124.88</v>
      </c>
      <c r="AN12" s="22">
        <v>125.88</v>
      </c>
      <c r="AO12" s="22">
        <v>127.872</v>
      </c>
      <c r="AP12" s="22">
        <v>114.88</v>
      </c>
      <c r="AQ12" s="22">
        <v>125.88</v>
      </c>
      <c r="AR12" s="22">
        <v>120.88</v>
      </c>
      <c r="AS12" s="22">
        <v>119.88</v>
      </c>
      <c r="AT12" s="22">
        <v>126.88</v>
      </c>
      <c r="AU12" s="22">
        <v>122.88</v>
      </c>
      <c r="AV12" s="22">
        <v>119.88</v>
      </c>
      <c r="AW12" s="22">
        <v>105.88</v>
      </c>
      <c r="AX12" s="22">
        <v>132.55000000000001</v>
      </c>
      <c r="AY12" s="22">
        <v>130.88</v>
      </c>
      <c r="AZ12" s="22">
        <v>126.88</v>
      </c>
      <c r="BA12" s="22">
        <v>114.88</v>
      </c>
      <c r="BB12" s="22">
        <v>118.88</v>
      </c>
      <c r="BC12" s="22">
        <v>114.88</v>
      </c>
      <c r="BD12" s="22">
        <v>111.88</v>
      </c>
      <c r="BE12" s="22">
        <v>127.88</v>
      </c>
      <c r="BF12" s="22">
        <v>121.88</v>
      </c>
      <c r="BG12" s="22">
        <v>137.88</v>
      </c>
      <c r="BH12" s="22">
        <v>125.88</v>
      </c>
      <c r="BI12" s="22">
        <v>119.88</v>
      </c>
      <c r="BJ12" s="22">
        <v>144.88</v>
      </c>
      <c r="BK12" s="22">
        <v>139.88</v>
      </c>
      <c r="BL12" s="22">
        <v>133.88</v>
      </c>
      <c r="BM12" s="22">
        <v>130.88</v>
      </c>
      <c r="BN12" s="22">
        <v>131.88</v>
      </c>
      <c r="BO12" s="22">
        <v>137.88</v>
      </c>
      <c r="BP12" s="22">
        <v>131.88</v>
      </c>
      <c r="BQ12" s="22">
        <v>140.88</v>
      </c>
      <c r="BR12" s="22">
        <v>135.88</v>
      </c>
      <c r="BS12" s="22">
        <v>151.88</v>
      </c>
      <c r="BT12" s="22">
        <v>136.88</v>
      </c>
      <c r="BU12" s="22">
        <v>140.88</v>
      </c>
      <c r="BV12" s="22">
        <v>133.88</v>
      </c>
      <c r="BW12" s="22">
        <v>140.88</v>
      </c>
      <c r="BX12" s="22">
        <v>136.88</v>
      </c>
      <c r="BY12" s="22">
        <v>132.88</v>
      </c>
      <c r="BZ12" s="22">
        <v>123.88</v>
      </c>
      <c r="CA12" s="22">
        <v>130.88</v>
      </c>
      <c r="CB12" s="22">
        <v>125.88</v>
      </c>
      <c r="CC12" s="22">
        <v>136.88</v>
      </c>
      <c r="CD12" s="22">
        <v>130.91999999999999</v>
      </c>
      <c r="CE12" s="22">
        <v>133.88</v>
      </c>
      <c r="CF12" s="22">
        <v>132.88</v>
      </c>
      <c r="CG12" s="22">
        <v>128.88</v>
      </c>
      <c r="CH12" s="22">
        <v>124.88</v>
      </c>
      <c r="CI12" s="22">
        <v>126.88</v>
      </c>
      <c r="CJ12" s="22">
        <v>125</v>
      </c>
      <c r="CK12" s="22">
        <v>121.88</v>
      </c>
      <c r="CL12" s="22">
        <v>119.88</v>
      </c>
      <c r="CM12" s="22">
        <v>116.88</v>
      </c>
      <c r="CN12" s="22">
        <v>113.88</v>
      </c>
      <c r="CO12" s="22">
        <v>112.88</v>
      </c>
      <c r="CP12" s="22">
        <v>111.88</v>
      </c>
      <c r="CQ12" s="22">
        <v>109.88</v>
      </c>
      <c r="CR12" s="22">
        <v>105.88</v>
      </c>
      <c r="CS12" s="22">
        <v>104.88</v>
      </c>
      <c r="CT12" s="22">
        <v>109.88</v>
      </c>
      <c r="CU12" s="22">
        <v>105.88</v>
      </c>
      <c r="CV12" s="22">
        <v>104.88</v>
      </c>
      <c r="CW12" s="22">
        <v>101.88</v>
      </c>
      <c r="CX12" s="22">
        <v>100.88</v>
      </c>
      <c r="CY12" s="22">
        <v>101.88</v>
      </c>
      <c r="CZ12" s="22">
        <v>98.413333333333313</v>
      </c>
      <c r="DA12" s="22">
        <v>89.88</v>
      </c>
      <c r="DB12" s="22">
        <v>88.88</v>
      </c>
      <c r="DC12" s="22">
        <v>104.88</v>
      </c>
      <c r="DD12" s="22">
        <v>104.88</v>
      </c>
      <c r="DE12" s="22">
        <v>99.88</v>
      </c>
      <c r="DF12" s="22">
        <v>95.88</v>
      </c>
      <c r="DG12" s="22">
        <v>105.88</v>
      </c>
      <c r="DH12" s="22">
        <v>102.88</v>
      </c>
      <c r="DI12" s="22">
        <v>100.88</v>
      </c>
      <c r="DJ12" s="22">
        <v>99.88</v>
      </c>
      <c r="DK12" s="22">
        <v>101.88</v>
      </c>
      <c r="DL12" s="22">
        <v>94.88</v>
      </c>
      <c r="DM12" s="22">
        <v>93.88</v>
      </c>
      <c r="DN12" s="22">
        <v>110.88</v>
      </c>
      <c r="DO12" s="22">
        <v>109.88</v>
      </c>
      <c r="DP12" s="22">
        <v>110.88</v>
      </c>
      <c r="DQ12" s="22">
        <v>109.88</v>
      </c>
      <c r="DR12" s="22">
        <v>119.88</v>
      </c>
      <c r="DS12" s="22">
        <v>118.88</v>
      </c>
      <c r="DT12" s="22">
        <v>118.88</v>
      </c>
      <c r="DU12" s="22">
        <v>126.88</v>
      </c>
      <c r="DV12" s="22">
        <v>123.88</v>
      </c>
      <c r="DW12" s="22">
        <v>118.88</v>
      </c>
      <c r="DX12" s="22">
        <v>117.88</v>
      </c>
      <c r="DY12" s="22">
        <v>127.88</v>
      </c>
      <c r="DZ12" s="22">
        <v>124.88</v>
      </c>
      <c r="EA12" s="22">
        <v>120.88</v>
      </c>
      <c r="EB12" s="22">
        <v>117.88</v>
      </c>
      <c r="EC12" s="22">
        <v>115.88</v>
      </c>
      <c r="ED12" s="22">
        <v>113.88</v>
      </c>
      <c r="EE12" s="22">
        <v>111.88</v>
      </c>
      <c r="EF12" s="22">
        <v>109.88</v>
      </c>
      <c r="EG12" s="22">
        <v>107.88</v>
      </c>
      <c r="EH12" s="22">
        <v>105.88</v>
      </c>
      <c r="EI12" s="22">
        <v>103.88</v>
      </c>
      <c r="EJ12" s="22">
        <v>101.88</v>
      </c>
      <c r="EK12" s="22">
        <v>106.46096031249999</v>
      </c>
      <c r="EL12" s="22">
        <v>103.80286428125</v>
      </c>
      <c r="EM12" s="22">
        <v>101.80286428125</v>
      </c>
      <c r="EN12" s="22">
        <v>99.802864281249995</v>
      </c>
      <c r="EO12" s="22">
        <v>97.802864281249995</v>
      </c>
      <c r="EP12" s="22">
        <v>95.802864281249995</v>
      </c>
      <c r="EQ12" s="22">
        <v>93.802864281249995</v>
      </c>
      <c r="ER12" s="22">
        <v>91.802864281249995</v>
      </c>
      <c r="ES12" s="22">
        <v>89.802864281249995</v>
      </c>
      <c r="ET12" s="22">
        <v>87.802864281249995</v>
      </c>
      <c r="EU12" s="22">
        <v>66.965906249999989</v>
      </c>
      <c r="EV12" s="22">
        <v>64.965906249999989</v>
      </c>
      <c r="EW12" s="22">
        <v>62.965906249999989</v>
      </c>
      <c r="EX12" s="22">
        <v>97.88</v>
      </c>
      <c r="EY12" s="22">
        <v>97.88</v>
      </c>
    </row>
    <row r="13" spans="1:155" x14ac:dyDescent="0.3">
      <c r="A13" s="38"/>
      <c r="B13" s="38"/>
      <c r="C13" s="38"/>
      <c r="D13" s="15" t="s">
        <v>16</v>
      </c>
      <c r="E13" s="19">
        <f t="shared" ref="E13:AW13" si="153">E12/E9</f>
        <v>1.312069517359344</v>
      </c>
      <c r="F13" s="19">
        <f t="shared" si="153"/>
        <v>1.312069517359344</v>
      </c>
      <c r="G13" s="19">
        <f t="shared" si="153"/>
        <v>1.4858957852149761</v>
      </c>
      <c r="H13" s="19">
        <f t="shared" si="153"/>
        <v>1.4259268970224435</v>
      </c>
      <c r="I13" s="19">
        <f t="shared" si="153"/>
        <v>1.3792844284282515</v>
      </c>
      <c r="J13" s="19">
        <f t="shared" si="153"/>
        <v>1.3126523304365485</v>
      </c>
      <c r="K13" s="19">
        <f t="shared" si="153"/>
        <v>1.3030956261459836</v>
      </c>
      <c r="L13" s="19">
        <f t="shared" si="153"/>
        <v>1.2322752116815281</v>
      </c>
      <c r="M13" s="19">
        <f t="shared" si="153"/>
        <v>1.182700921556409</v>
      </c>
      <c r="N13" s="19">
        <f t="shared" si="153"/>
        <v>1.1543727557706269</v>
      </c>
      <c r="O13" s="19">
        <f t="shared" si="153"/>
        <v>1.0650666020385005</v>
      </c>
      <c r="P13" s="19">
        <f t="shared" si="153"/>
        <v>1.16747685223451</v>
      </c>
      <c r="Q13" s="19">
        <f t="shared" si="153"/>
        <v>1.1265127521561062</v>
      </c>
      <c r="R13" s="19">
        <f t="shared" si="153"/>
        <v>1.2357503523651832</v>
      </c>
      <c r="S13" s="19">
        <f t="shared" si="153"/>
        <v>1.0268848204988426</v>
      </c>
      <c r="T13" s="19">
        <f t="shared" si="153"/>
        <v>1.032719393342586</v>
      </c>
      <c r="U13" s="19">
        <f t="shared" si="153"/>
        <v>1.0288782061277413</v>
      </c>
      <c r="V13" s="19">
        <f t="shared" si="153"/>
        <v>0.99771195628012554</v>
      </c>
      <c r="W13" s="19">
        <f t="shared" si="153"/>
        <v>1.0455812853792326</v>
      </c>
      <c r="X13" s="19">
        <f t="shared" si="153"/>
        <v>1.0613342981810219</v>
      </c>
      <c r="Y13" s="19">
        <f t="shared" si="153"/>
        <v>1.0238110780960594</v>
      </c>
      <c r="Z13" s="19">
        <f t="shared" si="153"/>
        <v>0.96198355675247194</v>
      </c>
      <c r="AA13" s="19">
        <f t="shared" si="153"/>
        <v>0.92217935398910789</v>
      </c>
      <c r="AB13" s="19">
        <f t="shared" si="153"/>
        <v>0.92467224083884569</v>
      </c>
      <c r="AC13" s="19">
        <f t="shared" si="153"/>
        <v>0.87543951748332482</v>
      </c>
      <c r="AD13" s="19">
        <f t="shared" si="153"/>
        <v>0.8378162572771406</v>
      </c>
      <c r="AE13" s="19">
        <f t="shared" si="153"/>
        <v>0.80019299707095648</v>
      </c>
      <c r="AF13" s="19">
        <f t="shared" si="153"/>
        <v>0.74644548249069342</v>
      </c>
      <c r="AG13" s="19">
        <f t="shared" si="153"/>
        <v>0.79042926133257252</v>
      </c>
      <c r="AH13" s="19">
        <f t="shared" si="153"/>
        <v>0.82611992635360976</v>
      </c>
      <c r="AI13" s="19">
        <f t="shared" si="153"/>
        <v>0.75473859631153517</v>
      </c>
      <c r="AJ13" s="19">
        <f t="shared" si="153"/>
        <v>0.82017148218343694</v>
      </c>
      <c r="AK13" s="19">
        <f t="shared" si="153"/>
        <v>0.98936068118221654</v>
      </c>
      <c r="AL13" s="19">
        <f t="shared" si="153"/>
        <v>0.91099830004019189</v>
      </c>
      <c r="AM13" s="19">
        <f t="shared" si="153"/>
        <v>0.88962674154691246</v>
      </c>
      <c r="AN13" s="19">
        <f t="shared" si="153"/>
        <v>0.89675059437800564</v>
      </c>
      <c r="AO13" s="19">
        <f t="shared" si="153"/>
        <v>0.91118845617348021</v>
      </c>
      <c r="AP13" s="19">
        <f t="shared" si="153"/>
        <v>0.81861024966536389</v>
      </c>
      <c r="AQ13" s="19">
        <f t="shared" si="153"/>
        <v>0.89699389125936635</v>
      </c>
      <c r="AR13" s="19">
        <f t="shared" si="153"/>
        <v>0.86136496326209244</v>
      </c>
      <c r="AS13" s="19">
        <f t="shared" si="153"/>
        <v>0.85423917766263768</v>
      </c>
      <c r="AT13" s="19">
        <f t="shared" si="153"/>
        <v>0.96259547116285726</v>
      </c>
      <c r="AU13" s="19">
        <f t="shared" si="153"/>
        <v>0.93224882957512534</v>
      </c>
      <c r="AV13" s="19">
        <f t="shared" si="153"/>
        <v>0.90948884838432631</v>
      </c>
      <c r="AW13" s="19">
        <f t="shared" si="153"/>
        <v>0.80327560282726451</v>
      </c>
      <c r="AX13" s="19" t="e">
        <f t="shared" ref="AX13:AZ13" si="154">AX12/AX9</f>
        <v>#DIV/0!</v>
      </c>
      <c r="AY13" s="19" t="e">
        <f t="shared" si="154"/>
        <v>#DIV/0!</v>
      </c>
      <c r="AZ13" s="19" t="e">
        <f t="shared" si="154"/>
        <v>#DIV/0!</v>
      </c>
      <c r="BA13" s="19" t="e">
        <f t="shared" ref="BA13:BB13" si="155">BA12/BA9</f>
        <v>#DIV/0!</v>
      </c>
      <c r="BB13" s="19" t="e">
        <f t="shared" si="155"/>
        <v>#DIV/0!</v>
      </c>
      <c r="BC13" s="19" t="e">
        <f t="shared" ref="BC13:BG13" si="156">BC12/BC9</f>
        <v>#DIV/0!</v>
      </c>
      <c r="BD13" s="19" t="e">
        <f t="shared" si="156"/>
        <v>#DIV/0!</v>
      </c>
      <c r="BE13" s="19" t="e">
        <f t="shared" si="156"/>
        <v>#DIV/0!</v>
      </c>
      <c r="BF13" s="19" t="e">
        <f t="shared" si="156"/>
        <v>#DIV/0!</v>
      </c>
      <c r="BG13" s="19" t="e">
        <f t="shared" si="156"/>
        <v>#DIV/0!</v>
      </c>
      <c r="BH13" s="19" t="e">
        <f t="shared" ref="BH13:BM13" si="157">BH12/BH9</f>
        <v>#DIV/0!</v>
      </c>
      <c r="BI13" s="19" t="e">
        <f t="shared" si="157"/>
        <v>#DIV/0!</v>
      </c>
      <c r="BJ13" s="19" t="e">
        <f t="shared" si="157"/>
        <v>#DIV/0!</v>
      </c>
      <c r="BK13" s="19" t="e">
        <f t="shared" si="157"/>
        <v>#DIV/0!</v>
      </c>
      <c r="BL13" s="19" t="e">
        <f t="shared" si="157"/>
        <v>#DIV/0!</v>
      </c>
      <c r="BM13" s="19" t="e">
        <f t="shared" si="157"/>
        <v>#DIV/0!</v>
      </c>
      <c r="BN13" s="19" t="e">
        <f t="shared" ref="BN13:BO13" si="158">BN12/BN9</f>
        <v>#DIV/0!</v>
      </c>
      <c r="BO13" s="19" t="e">
        <f t="shared" si="158"/>
        <v>#DIV/0!</v>
      </c>
      <c r="BP13" s="19" t="e">
        <f t="shared" ref="BP13:CW13" si="159">BP12/BP9</f>
        <v>#DIV/0!</v>
      </c>
      <c r="BQ13" s="19" t="e">
        <f t="shared" si="159"/>
        <v>#DIV/0!</v>
      </c>
      <c r="BR13" s="19" t="e">
        <f t="shared" si="159"/>
        <v>#DIV/0!</v>
      </c>
      <c r="BS13" s="19" t="e">
        <f t="shared" si="159"/>
        <v>#DIV/0!</v>
      </c>
      <c r="BT13" s="19" t="e">
        <f>BT12/BT9</f>
        <v>#DIV/0!</v>
      </c>
      <c r="BU13" s="19" t="e">
        <f t="shared" si="159"/>
        <v>#DIV/0!</v>
      </c>
      <c r="BV13" s="19" t="e">
        <f t="shared" si="159"/>
        <v>#DIV/0!</v>
      </c>
      <c r="BW13" s="19" t="e">
        <f t="shared" si="159"/>
        <v>#DIV/0!</v>
      </c>
      <c r="BX13" s="19" t="e">
        <f t="shared" si="159"/>
        <v>#DIV/0!</v>
      </c>
      <c r="BY13" s="19" t="e">
        <f t="shared" si="159"/>
        <v>#DIV/0!</v>
      </c>
      <c r="BZ13" s="19" t="e">
        <f t="shared" si="159"/>
        <v>#DIV/0!</v>
      </c>
      <c r="CA13" s="19" t="e">
        <f t="shared" si="159"/>
        <v>#DIV/0!</v>
      </c>
      <c r="CB13" s="19" t="e">
        <f t="shared" si="159"/>
        <v>#DIV/0!</v>
      </c>
      <c r="CC13" s="19" t="e">
        <f t="shared" si="159"/>
        <v>#DIV/0!</v>
      </c>
      <c r="CD13" s="19" t="e">
        <f t="shared" si="159"/>
        <v>#DIV/0!</v>
      </c>
      <c r="CE13" s="19" t="e">
        <f t="shared" si="159"/>
        <v>#DIV/0!</v>
      </c>
      <c r="CF13" s="19" t="e">
        <f t="shared" si="159"/>
        <v>#DIV/0!</v>
      </c>
      <c r="CG13" s="19" t="e">
        <f t="shared" si="159"/>
        <v>#DIV/0!</v>
      </c>
      <c r="CH13" s="19" t="e">
        <f t="shared" si="159"/>
        <v>#DIV/0!</v>
      </c>
      <c r="CI13" s="19" t="e">
        <f t="shared" si="159"/>
        <v>#DIV/0!</v>
      </c>
      <c r="CJ13" s="19" t="e">
        <f t="shared" si="159"/>
        <v>#DIV/0!</v>
      </c>
      <c r="CK13" s="19" t="e">
        <f>CK12/CK9</f>
        <v>#DIV/0!</v>
      </c>
      <c r="CL13" s="19" t="e">
        <f t="shared" si="159"/>
        <v>#DIV/0!</v>
      </c>
      <c r="CM13" s="19" t="e">
        <f t="shared" si="159"/>
        <v>#DIV/0!</v>
      </c>
      <c r="CN13" s="19" t="e">
        <f t="shared" si="159"/>
        <v>#DIV/0!</v>
      </c>
      <c r="CO13" s="19" t="e">
        <f t="shared" si="159"/>
        <v>#DIV/0!</v>
      </c>
      <c r="CP13" s="19" t="e">
        <f t="shared" si="159"/>
        <v>#DIV/0!</v>
      </c>
      <c r="CQ13" s="19" t="e">
        <f t="shared" si="159"/>
        <v>#DIV/0!</v>
      </c>
      <c r="CR13" s="19" t="e">
        <f t="shared" si="159"/>
        <v>#DIV/0!</v>
      </c>
      <c r="CS13" s="19" t="e">
        <f t="shared" si="159"/>
        <v>#DIV/0!</v>
      </c>
      <c r="CT13" s="19" t="e">
        <f t="shared" si="159"/>
        <v>#DIV/0!</v>
      </c>
      <c r="CU13" s="19" t="e">
        <f t="shared" si="159"/>
        <v>#DIV/0!</v>
      </c>
      <c r="CV13" s="19" t="e">
        <f t="shared" si="159"/>
        <v>#DIV/0!</v>
      </c>
      <c r="CW13" s="19" t="e">
        <f t="shared" si="159"/>
        <v>#DIV/0!</v>
      </c>
      <c r="CX13" s="19" t="e">
        <f t="shared" ref="CX13:CY13" si="160">CX12/CX9</f>
        <v>#DIV/0!</v>
      </c>
      <c r="CY13" s="19" t="e">
        <f t="shared" si="160"/>
        <v>#DIV/0!</v>
      </c>
      <c r="CZ13" s="19" t="e">
        <f t="shared" ref="CZ13:EV13" si="161">CZ12/CZ9</f>
        <v>#DIV/0!</v>
      </c>
      <c r="DA13" s="19" t="e">
        <f t="shared" si="161"/>
        <v>#DIV/0!</v>
      </c>
      <c r="DB13" s="19" t="e">
        <f t="shared" si="161"/>
        <v>#DIV/0!</v>
      </c>
      <c r="DC13" s="19" t="e">
        <f t="shared" si="161"/>
        <v>#DIV/0!</v>
      </c>
      <c r="DD13" s="19" t="e">
        <f t="shared" si="161"/>
        <v>#DIV/0!</v>
      </c>
      <c r="DE13" s="19" t="e">
        <f t="shared" si="161"/>
        <v>#DIV/0!</v>
      </c>
      <c r="DF13" s="19" t="e">
        <f t="shared" si="161"/>
        <v>#DIV/0!</v>
      </c>
      <c r="DG13" s="19" t="e">
        <f t="shared" si="161"/>
        <v>#DIV/0!</v>
      </c>
      <c r="DH13" s="19" t="e">
        <f t="shared" si="161"/>
        <v>#DIV/0!</v>
      </c>
      <c r="DI13" s="19" t="e">
        <f t="shared" si="161"/>
        <v>#DIV/0!</v>
      </c>
      <c r="DJ13" s="19" t="e">
        <f t="shared" si="161"/>
        <v>#DIV/0!</v>
      </c>
      <c r="DK13" s="19" t="e">
        <f t="shared" si="161"/>
        <v>#DIV/0!</v>
      </c>
      <c r="DL13" s="19" t="e">
        <f t="shared" si="161"/>
        <v>#DIV/0!</v>
      </c>
      <c r="DM13" s="19" t="e">
        <f t="shared" si="161"/>
        <v>#DIV/0!</v>
      </c>
      <c r="DN13" s="19" t="e">
        <f t="shared" si="161"/>
        <v>#DIV/0!</v>
      </c>
      <c r="DO13" s="19" t="e">
        <f t="shared" si="161"/>
        <v>#DIV/0!</v>
      </c>
      <c r="DP13" s="19" t="e">
        <f t="shared" si="161"/>
        <v>#DIV/0!</v>
      </c>
      <c r="DQ13" s="19" t="e">
        <f t="shared" si="161"/>
        <v>#DIV/0!</v>
      </c>
      <c r="DR13" s="19" t="e">
        <f t="shared" si="161"/>
        <v>#DIV/0!</v>
      </c>
      <c r="DS13" s="19" t="e">
        <f t="shared" si="161"/>
        <v>#DIV/0!</v>
      </c>
      <c r="DT13" s="19" t="e">
        <f t="shared" si="161"/>
        <v>#DIV/0!</v>
      </c>
      <c r="DU13" s="19" t="e">
        <f t="shared" si="161"/>
        <v>#DIV/0!</v>
      </c>
      <c r="DV13" s="19" t="e">
        <f t="shared" si="161"/>
        <v>#DIV/0!</v>
      </c>
      <c r="DW13" s="19" t="e">
        <f t="shared" si="161"/>
        <v>#DIV/0!</v>
      </c>
      <c r="DX13" s="19" t="e">
        <f t="shared" si="161"/>
        <v>#DIV/0!</v>
      </c>
      <c r="DY13" s="19" t="e">
        <f t="shared" si="161"/>
        <v>#DIV/0!</v>
      </c>
      <c r="DZ13" s="19" t="e">
        <f t="shared" si="161"/>
        <v>#DIV/0!</v>
      </c>
      <c r="EA13" s="19" t="e">
        <f t="shared" si="161"/>
        <v>#DIV/0!</v>
      </c>
      <c r="EB13" s="19" t="e">
        <f t="shared" si="161"/>
        <v>#DIV/0!</v>
      </c>
      <c r="EC13" s="19" t="e">
        <f t="shared" si="161"/>
        <v>#DIV/0!</v>
      </c>
      <c r="ED13" s="19" t="e">
        <f t="shared" si="161"/>
        <v>#DIV/0!</v>
      </c>
      <c r="EE13" s="19" t="e">
        <f t="shared" si="161"/>
        <v>#DIV/0!</v>
      </c>
      <c r="EF13" s="19" t="e">
        <f t="shared" si="161"/>
        <v>#DIV/0!</v>
      </c>
      <c r="EG13" s="19" t="e">
        <f t="shared" si="161"/>
        <v>#DIV/0!</v>
      </c>
      <c r="EH13" s="19" t="e">
        <f t="shared" si="161"/>
        <v>#DIV/0!</v>
      </c>
      <c r="EI13" s="19" t="e">
        <f t="shared" si="161"/>
        <v>#DIV/0!</v>
      </c>
      <c r="EJ13" s="19" t="e">
        <f t="shared" si="161"/>
        <v>#DIV/0!</v>
      </c>
      <c r="EK13" s="19" t="e">
        <f t="shared" si="161"/>
        <v>#DIV/0!</v>
      </c>
      <c r="EL13" s="19" t="e">
        <f t="shared" si="161"/>
        <v>#DIV/0!</v>
      </c>
      <c r="EM13" s="19" t="e">
        <f t="shared" si="161"/>
        <v>#DIV/0!</v>
      </c>
      <c r="EN13" s="19" t="e">
        <f t="shared" si="161"/>
        <v>#DIV/0!</v>
      </c>
      <c r="EO13" s="19" t="e">
        <f t="shared" si="161"/>
        <v>#DIV/0!</v>
      </c>
      <c r="EP13" s="19" t="e">
        <f t="shared" si="161"/>
        <v>#DIV/0!</v>
      </c>
      <c r="EQ13" s="19" t="e">
        <f t="shared" si="161"/>
        <v>#DIV/0!</v>
      </c>
      <c r="ER13" s="19" t="e">
        <f t="shared" si="161"/>
        <v>#DIV/0!</v>
      </c>
      <c r="ES13" s="19" t="e">
        <f t="shared" si="161"/>
        <v>#DIV/0!</v>
      </c>
      <c r="ET13" s="19" t="e">
        <f t="shared" si="161"/>
        <v>#DIV/0!</v>
      </c>
      <c r="EU13" s="19" t="e">
        <f t="shared" si="161"/>
        <v>#DIV/0!</v>
      </c>
      <c r="EV13" s="19" t="e">
        <f t="shared" si="161"/>
        <v>#DIV/0!</v>
      </c>
      <c r="EW13" s="19" t="e">
        <f t="shared" ref="EW13:EY13" si="162">EW12/EW9</f>
        <v>#DIV/0!</v>
      </c>
      <c r="EX13" s="19" t="e">
        <f t="shared" si="162"/>
        <v>#DIV/0!</v>
      </c>
      <c r="EY13" s="19" t="e">
        <f t="shared" si="162"/>
        <v>#DIV/0!</v>
      </c>
    </row>
    <row r="14" spans="1:155" x14ac:dyDescent="0.3">
      <c r="A14" s="39"/>
      <c r="B14" s="39"/>
      <c r="C14" s="39"/>
      <c r="D14" s="15" t="s">
        <v>17</v>
      </c>
      <c r="E14" s="20">
        <f>E12/E10</f>
        <v>1.1709431437961126</v>
      </c>
      <c r="F14" s="20">
        <f t="shared" ref="F14:T14" si="163">F12/F10</f>
        <v>1.0260891255739557</v>
      </c>
      <c r="G14" s="20">
        <f t="shared" si="163"/>
        <v>0.94630750410329401</v>
      </c>
      <c r="H14" s="20">
        <f t="shared" si="163"/>
        <v>0.9598803337556594</v>
      </c>
      <c r="I14" s="20">
        <f t="shared" si="163"/>
        <v>0.94057355500560269</v>
      </c>
      <c r="J14" s="20">
        <f t="shared" si="163"/>
        <v>0.90302641936611705</v>
      </c>
      <c r="K14" s="20">
        <f t="shared" si="163"/>
        <v>1.0273002593122786</v>
      </c>
      <c r="L14" s="20">
        <f t="shared" si="163"/>
        <v>1.0874297695029846</v>
      </c>
      <c r="M14" s="20">
        <f t="shared" si="163"/>
        <v>1.1326778224081155</v>
      </c>
      <c r="N14" s="20">
        <f t="shared" si="163"/>
        <v>1.153653329464563</v>
      </c>
      <c r="O14" s="20">
        <f t="shared" si="163"/>
        <v>1.0283674157572533</v>
      </c>
      <c r="P14" s="20">
        <f t="shared" si="163"/>
        <v>1.0355775076116251</v>
      </c>
      <c r="Q14" s="20">
        <f t="shared" si="163"/>
        <v>1.071948868495451</v>
      </c>
      <c r="R14" s="20">
        <f t="shared" si="163"/>
        <v>1.1676258042086769</v>
      </c>
      <c r="S14" s="20">
        <f t="shared" si="163"/>
        <v>1.032425793352328</v>
      </c>
      <c r="T14" s="20">
        <f t="shared" si="163"/>
        <v>0.96501175340558021</v>
      </c>
      <c r="U14" s="20">
        <f t="shared" ref="U14:AW14" si="164">U12/U10</f>
        <v>1.0269741459973083</v>
      </c>
      <c r="V14" s="20">
        <f t="shared" si="164"/>
        <v>0.94046811441854894</v>
      </c>
      <c r="W14" s="20">
        <f t="shared" si="164"/>
        <v>1.0047762609398903</v>
      </c>
      <c r="X14" s="20">
        <f t="shared" si="164"/>
        <v>1.0298664992755826</v>
      </c>
      <c r="Y14" s="20">
        <f t="shared" si="164"/>
        <v>1.0158298244320529</v>
      </c>
      <c r="Z14" s="20">
        <f t="shared" si="164"/>
        <v>1.0728118126506179</v>
      </c>
      <c r="AA14" s="20">
        <f t="shared" si="164"/>
        <v>0.99642580885347465</v>
      </c>
      <c r="AB14" s="20">
        <f t="shared" si="164"/>
        <v>1.6217552614228568</v>
      </c>
      <c r="AC14" s="20">
        <f t="shared" si="164"/>
        <v>1.3652376187878759</v>
      </c>
      <c r="AD14" s="20">
        <f t="shared" si="164"/>
        <v>1.3631261024725201</v>
      </c>
      <c r="AE14" s="20">
        <f t="shared" si="164"/>
        <v>1.3346865028470238</v>
      </c>
      <c r="AF14" s="20">
        <f t="shared" si="164"/>
        <v>1.2797312647752217</v>
      </c>
      <c r="AG14" s="20">
        <f t="shared" si="164"/>
        <v>1.3595655333801777</v>
      </c>
      <c r="AH14" s="20">
        <f t="shared" si="164"/>
        <v>1.3322920165840448</v>
      </c>
      <c r="AI14" s="20">
        <f t="shared" si="164"/>
        <v>1.4141660356344223</v>
      </c>
      <c r="AJ14" s="20">
        <f t="shared" si="164"/>
        <v>1.4023333826086051</v>
      </c>
      <c r="AK14" s="20">
        <f t="shared" si="164"/>
        <v>1.3796397667820743</v>
      </c>
      <c r="AL14" s="20">
        <f t="shared" si="164"/>
        <v>1.3881238644949794</v>
      </c>
      <c r="AM14" s="20">
        <f t="shared" si="164"/>
        <v>1.2619566603584327</v>
      </c>
      <c r="AN14" s="20">
        <f t="shared" si="164"/>
        <v>1.1979609397933717</v>
      </c>
      <c r="AO14" s="20">
        <f t="shared" si="164"/>
        <v>1.2671689593095816</v>
      </c>
      <c r="AP14" s="20">
        <f t="shared" si="164"/>
        <v>1.2679016683497408</v>
      </c>
      <c r="AQ14" s="20">
        <f t="shared" si="164"/>
        <v>1.372416168112867</v>
      </c>
      <c r="AR14" s="20">
        <f t="shared" si="164"/>
        <v>1.2570516257992588</v>
      </c>
      <c r="AS14" s="20">
        <f t="shared" si="164"/>
        <v>1.5723213704619774</v>
      </c>
      <c r="AT14" s="20">
        <f t="shared" si="164"/>
        <v>1.1498712093214352</v>
      </c>
      <c r="AU14" s="20">
        <f t="shared" si="164"/>
        <v>1.1918226912933829</v>
      </c>
      <c r="AV14" s="20">
        <f t="shared" si="164"/>
        <v>1.2127888882379769</v>
      </c>
      <c r="AW14" s="20">
        <f t="shared" si="164"/>
        <v>1.6152001647648546</v>
      </c>
      <c r="AX14" s="20">
        <f t="shared" ref="AX14:AZ14" si="165">AX12/AX10</f>
        <v>1.4895295888055036</v>
      </c>
      <c r="AY14" s="20">
        <f t="shared" si="165"/>
        <v>1.1945396825396826</v>
      </c>
      <c r="AZ14" s="20">
        <f t="shared" si="165"/>
        <v>1.1895</v>
      </c>
      <c r="BA14" s="20">
        <f t="shared" ref="BA14:BB14" si="166">BA12/BA10</f>
        <v>1.3462499999999999</v>
      </c>
      <c r="BB14" s="20">
        <f t="shared" si="166"/>
        <v>1.1144999999999998</v>
      </c>
      <c r="BC14" s="20">
        <f t="shared" ref="BC14:BG14" si="167">BC12/BC10</f>
        <v>1.0257142857142856</v>
      </c>
      <c r="BD14" s="20">
        <f t="shared" si="167"/>
        <v>1.0150403225806452</v>
      </c>
      <c r="BE14" s="20">
        <f t="shared" si="167"/>
        <v>1.2191949152542372</v>
      </c>
      <c r="BF14" s="20">
        <f t="shared" si="167"/>
        <v>1.0712109374999998</v>
      </c>
      <c r="BG14" s="20">
        <f t="shared" si="167"/>
        <v>1.2509274193548388</v>
      </c>
      <c r="BH14" s="20">
        <f t="shared" ref="BH14:BM14" si="168">BH12/BH10</f>
        <v>1.1607786885245901</v>
      </c>
      <c r="BI14" s="20">
        <f t="shared" si="168"/>
        <v>1.2041517857142858</v>
      </c>
      <c r="BJ14" s="20">
        <f t="shared" si="168"/>
        <v>1.253769230769231</v>
      </c>
      <c r="BK14" s="20">
        <f t="shared" si="168"/>
        <v>1.3037061403508772</v>
      </c>
      <c r="BL14" s="20">
        <f t="shared" si="168"/>
        <v>1.226271551724138</v>
      </c>
      <c r="BM14" s="20">
        <f t="shared" si="168"/>
        <v>1.3118867924528301</v>
      </c>
      <c r="BN14" s="20">
        <f t="shared" ref="BN14:BO14" si="169">BN12/BN10</f>
        <v>1.3473317307692307</v>
      </c>
      <c r="BO14" s="20">
        <f t="shared" si="169"/>
        <v>1.3080133928571429</v>
      </c>
      <c r="BP14" s="20">
        <f t="shared" ref="BP14:CW14" si="170">BP12/BP10</f>
        <v>1.1874788135593219</v>
      </c>
      <c r="BQ14" s="20">
        <f t="shared" si="170"/>
        <v>1.3364732142857143</v>
      </c>
      <c r="BR14" s="20">
        <f t="shared" si="170"/>
        <v>1.2890401785714285</v>
      </c>
      <c r="BS14" s="20">
        <f t="shared" si="170"/>
        <v>1.5759033203124999</v>
      </c>
      <c r="BT14" s="20">
        <f t="shared" si="170"/>
        <v>1.1362109374999998</v>
      </c>
      <c r="BU14" s="20">
        <f t="shared" si="170"/>
        <v>1.2269262295081966</v>
      </c>
      <c r="BV14" s="20">
        <f>BV11/BV10</f>
        <v>1.1544011544011543</v>
      </c>
      <c r="BW14" s="20">
        <f t="shared" ref="BW14:CK14" si="171">BW11/BW10</f>
        <v>1.1702065414545668</v>
      </c>
      <c r="BX14" s="20">
        <f t="shared" si="171"/>
        <v>1.1544011544011543</v>
      </c>
      <c r="BY14" s="20">
        <f t="shared" si="171"/>
        <v>1.1544011544011543</v>
      </c>
      <c r="BZ14" s="20">
        <f t="shared" si="171"/>
        <v>1.1576167565025504</v>
      </c>
      <c r="CA14" s="20">
        <f t="shared" si="171"/>
        <v>1.1948591186420425</v>
      </c>
      <c r="CB14" s="20">
        <f t="shared" si="171"/>
        <v>1.1576167565025504</v>
      </c>
      <c r="CC14" s="20">
        <f t="shared" si="171"/>
        <v>1.1916643081643898</v>
      </c>
      <c r="CD14" s="20">
        <f t="shared" si="171"/>
        <v>1.1576167565025504</v>
      </c>
      <c r="CE14" s="20">
        <f t="shared" si="171"/>
        <v>1.1673719538888079</v>
      </c>
      <c r="CF14" s="20">
        <f t="shared" si="171"/>
        <v>1.1608503228614961</v>
      </c>
      <c r="CG14" s="20">
        <f t="shared" si="171"/>
        <v>1.1480232474707612</v>
      </c>
      <c r="CH14" s="20">
        <f t="shared" si="171"/>
        <v>1.1480232474707612</v>
      </c>
      <c r="CI14" s="20">
        <f t="shared" si="171"/>
        <v>1.1323826037722495</v>
      </c>
      <c r="CJ14" s="20">
        <f t="shared" si="171"/>
        <v>1.1323826037722495</v>
      </c>
      <c r="CK14" s="20">
        <f t="shared" si="171"/>
        <v>1.1323826037722495</v>
      </c>
      <c r="CL14" s="20">
        <f t="shared" si="170"/>
        <v>1.5159244186046512</v>
      </c>
      <c r="CM14" s="20">
        <f t="shared" si="170"/>
        <v>1.6070999999999998</v>
      </c>
      <c r="CN14" s="20">
        <f t="shared" si="170"/>
        <v>1.5658499999999997</v>
      </c>
      <c r="CO14" s="20">
        <f t="shared" si="170"/>
        <v>1.4781904761904763</v>
      </c>
      <c r="CP14" s="20">
        <f t="shared" si="170"/>
        <v>1.337695652173913</v>
      </c>
      <c r="CQ14" s="20">
        <f t="shared" si="170"/>
        <v>1.3734999999999999</v>
      </c>
      <c r="CR14" s="20">
        <f t="shared" si="170"/>
        <v>1.3865238095238095</v>
      </c>
      <c r="CS14" s="20">
        <f t="shared" si="170"/>
        <v>2.0601428571428571</v>
      </c>
      <c r="CT14" s="20">
        <f t="shared" si="170"/>
        <v>1.3734999999999999</v>
      </c>
      <c r="CU14" s="20">
        <f t="shared" si="170"/>
        <v>1.4558499999999999</v>
      </c>
      <c r="CV14" s="20">
        <f t="shared" si="170"/>
        <v>1.6023333333333334</v>
      </c>
      <c r="CW14" s="20">
        <f t="shared" si="170"/>
        <v>3.1837499999999999</v>
      </c>
      <c r="CX14" s="20">
        <f t="shared" ref="CX14:CY14" si="172">CX12/CX10</f>
        <v>1.7783333333333331</v>
      </c>
      <c r="CY14" s="20">
        <f t="shared" si="172"/>
        <v>1.0572452830188679</v>
      </c>
      <c r="CZ14" s="20">
        <f t="shared" ref="CZ14:EV14" si="173">CZ12/CZ10</f>
        <v>1.1046394557823127</v>
      </c>
      <c r="DA14" s="20">
        <f t="shared" si="173"/>
        <v>1.3433152173913043</v>
      </c>
      <c r="DB14" s="20">
        <f t="shared" si="173"/>
        <v>0.97767999999999999</v>
      </c>
      <c r="DC14" s="20">
        <f t="shared" si="173"/>
        <v>1.1772244897959183</v>
      </c>
      <c r="DD14" s="20">
        <f t="shared" si="173"/>
        <v>1.2818666666666667</v>
      </c>
      <c r="DE14" s="20">
        <f t="shared" si="173"/>
        <v>1.1942173913043477</v>
      </c>
      <c r="DF14" s="20">
        <f t="shared" si="173"/>
        <v>1.1219999999999999</v>
      </c>
      <c r="DG14" s="20">
        <f t="shared" si="173"/>
        <v>1.1418431372549018</v>
      </c>
      <c r="DH14" s="20">
        <f t="shared" si="173"/>
        <v>1.1547755102040815</v>
      </c>
      <c r="DI14" s="20">
        <f t="shared" si="173"/>
        <v>1.2061739130434781</v>
      </c>
      <c r="DJ14" s="20">
        <f t="shared" si="173"/>
        <v>1.1942173913043477</v>
      </c>
      <c r="DK14" s="20">
        <f t="shared" si="173"/>
        <v>1.0572452830188679</v>
      </c>
      <c r="DL14" s="20">
        <f t="shared" si="173"/>
        <v>1.0436799999999999</v>
      </c>
      <c r="DM14" s="20">
        <f t="shared" si="173"/>
        <v>1.1224782608695651</v>
      </c>
      <c r="DN14" s="20">
        <f t="shared" si="173"/>
        <v>1.3089999999999999</v>
      </c>
      <c r="DO14" s="20">
        <f t="shared" si="173"/>
        <v>1.1674749999999998</v>
      </c>
      <c r="DP14" s="20">
        <f t="shared" si="173"/>
        <v>1.1806666666666668</v>
      </c>
      <c r="DQ14" s="20">
        <f t="shared" si="173"/>
        <v>1.1674749999999998</v>
      </c>
      <c r="DR14" s="20">
        <f t="shared" si="173"/>
        <v>1.2997193877551021</v>
      </c>
      <c r="DS14" s="20">
        <f t="shared" si="173"/>
        <v>1.5479166666666666</v>
      </c>
      <c r="DT14" s="20">
        <f t="shared" si="173"/>
        <v>1.1695370370370368</v>
      </c>
      <c r="DU14" s="20">
        <f t="shared" si="173"/>
        <v>1.3480999999999999</v>
      </c>
      <c r="DV14" s="20">
        <f t="shared" si="173"/>
        <v>1.3430867346938775</v>
      </c>
      <c r="DW14" s="20">
        <f t="shared" si="173"/>
        <v>1.3343673469387753</v>
      </c>
      <c r="DX14" s="20">
        <f t="shared" si="173"/>
        <v>1.421798245614035</v>
      </c>
      <c r="DY14" s="20">
        <f t="shared" si="173"/>
        <v>1.3024814814814814</v>
      </c>
      <c r="DZ14" s="20">
        <f t="shared" si="173"/>
        <v>1.37368</v>
      </c>
      <c r="EA14" s="20">
        <f t="shared" si="173"/>
        <v>1.32968</v>
      </c>
      <c r="EB14" s="20">
        <f t="shared" si="173"/>
        <v>1.2232830188679245</v>
      </c>
      <c r="EC14" s="20">
        <f t="shared" si="173"/>
        <v>1.1381071428571428</v>
      </c>
      <c r="ED14" s="20">
        <f t="shared" si="173"/>
        <v>1.25268</v>
      </c>
      <c r="EE14" s="20">
        <f t="shared" si="173"/>
        <v>1.23068</v>
      </c>
      <c r="EF14" s="20">
        <f t="shared" si="173"/>
        <v>1.1849803921568627</v>
      </c>
      <c r="EG14" s="20">
        <f t="shared" si="173"/>
        <v>1.0788</v>
      </c>
      <c r="EH14" s="20">
        <f t="shared" si="173"/>
        <v>1.373443396226415</v>
      </c>
      <c r="EI14" s="20">
        <f t="shared" si="173"/>
        <v>1.1659999999999999</v>
      </c>
      <c r="EJ14" s="20">
        <f t="shared" si="173"/>
        <v>1.1435510204081631</v>
      </c>
      <c r="EK14" s="20">
        <f t="shared" si="173"/>
        <v>1.1047835504127359</v>
      </c>
      <c r="EL14" s="20">
        <f t="shared" si="173"/>
        <v>1.1651341909119897</v>
      </c>
      <c r="EM14" s="20">
        <f t="shared" si="173"/>
        <v>1.2172081598845108</v>
      </c>
      <c r="EN14" s="20">
        <f t="shared" si="173"/>
        <v>1.19329511640625</v>
      </c>
      <c r="EO14" s="20">
        <f t="shared" si="173"/>
        <v>1.1445016032912234</v>
      </c>
      <c r="EP14" s="20">
        <f t="shared" si="173"/>
        <v>1.1709238967708333</v>
      </c>
      <c r="EQ14" s="20">
        <f t="shared" si="173"/>
        <v>1.2283708417782737</v>
      </c>
      <c r="ER14" s="20">
        <f t="shared" si="173"/>
        <v>1.2622893838671874</v>
      </c>
      <c r="ES14" s="20">
        <f t="shared" si="173"/>
        <v>1.9293584122924803</v>
      </c>
      <c r="ET14" s="20">
        <f t="shared" si="173"/>
        <v>1.0975358035156249</v>
      </c>
      <c r="EU14" s="20">
        <f t="shared" si="173"/>
        <v>0.99543914695945934</v>
      </c>
      <c r="EV14" s="20">
        <f t="shared" si="173"/>
        <v>1.0827651041666664</v>
      </c>
      <c r="EW14" s="20">
        <f t="shared" ref="EW14:EY14" si="174">EW12/EW10</f>
        <v>2.0371322610294116</v>
      </c>
      <c r="EX14" s="20">
        <f t="shared" si="174"/>
        <v>1.1215416666666664</v>
      </c>
      <c r="EY14" s="20">
        <f t="shared" si="174"/>
        <v>1.1215416666666664</v>
      </c>
    </row>
    <row r="15" spans="1:155" x14ac:dyDescent="0.3">
      <c r="AL15" s="26"/>
      <c r="AP15" s="26"/>
      <c r="AT15" s="26"/>
    </row>
    <row r="16" spans="1:155" x14ac:dyDescent="0.3">
      <c r="A16" s="37" t="s">
        <v>32</v>
      </c>
      <c r="B16" s="37" t="s">
        <v>26</v>
      </c>
      <c r="C16" s="37" t="s">
        <v>23</v>
      </c>
      <c r="D16" s="15" t="s">
        <v>13</v>
      </c>
      <c r="E16" s="16">
        <v>15</v>
      </c>
      <c r="F16" s="16">
        <v>15</v>
      </c>
      <c r="G16" s="16">
        <v>15</v>
      </c>
      <c r="H16" s="16">
        <v>15</v>
      </c>
      <c r="I16" s="16">
        <v>15</v>
      </c>
      <c r="J16" s="16">
        <v>15</v>
      </c>
      <c r="K16" s="16">
        <v>15</v>
      </c>
      <c r="L16" s="16">
        <v>15</v>
      </c>
      <c r="M16" s="16">
        <v>15</v>
      </c>
      <c r="N16" s="16">
        <v>15</v>
      </c>
      <c r="O16" s="16">
        <v>15</v>
      </c>
      <c r="P16" s="16">
        <v>15</v>
      </c>
      <c r="Q16" s="16">
        <v>15</v>
      </c>
      <c r="R16" s="16">
        <v>15</v>
      </c>
      <c r="S16" s="16">
        <v>15</v>
      </c>
      <c r="T16" s="16">
        <v>15</v>
      </c>
      <c r="U16" s="16">
        <v>15</v>
      </c>
      <c r="V16" s="16">
        <v>15</v>
      </c>
      <c r="W16" s="16">
        <v>15</v>
      </c>
      <c r="X16" s="16">
        <v>15</v>
      </c>
      <c r="Y16" s="16">
        <v>15</v>
      </c>
      <c r="Z16" s="16">
        <v>15</v>
      </c>
      <c r="AA16" s="16">
        <v>15</v>
      </c>
      <c r="AB16" s="16">
        <v>15</v>
      </c>
      <c r="AC16" s="16">
        <v>15</v>
      </c>
      <c r="AD16" s="16">
        <v>15</v>
      </c>
      <c r="AE16" s="16">
        <v>15</v>
      </c>
      <c r="AF16" s="16">
        <v>15</v>
      </c>
      <c r="AG16" s="16">
        <v>15</v>
      </c>
      <c r="AH16" s="16">
        <v>15</v>
      </c>
      <c r="AI16" s="16">
        <v>15</v>
      </c>
      <c r="AJ16" s="16">
        <v>15</v>
      </c>
      <c r="AK16" s="16">
        <v>15</v>
      </c>
      <c r="AL16" s="16">
        <v>15</v>
      </c>
      <c r="AM16" s="16">
        <v>15</v>
      </c>
      <c r="AN16" s="16">
        <v>15</v>
      </c>
      <c r="AO16" s="16">
        <v>15</v>
      </c>
      <c r="AP16" s="16">
        <v>15</v>
      </c>
      <c r="AQ16" s="16">
        <v>15</v>
      </c>
      <c r="AR16" s="16">
        <v>15</v>
      </c>
      <c r="AS16" s="16">
        <v>15</v>
      </c>
      <c r="AT16" s="16">
        <v>15</v>
      </c>
      <c r="AU16" s="16">
        <v>15</v>
      </c>
      <c r="AV16" s="16">
        <v>15</v>
      </c>
      <c r="AW16" s="16">
        <v>15</v>
      </c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x14ac:dyDescent="0.3">
      <c r="A17" s="38"/>
      <c r="B17" s="38"/>
      <c r="C17" s="38"/>
      <c r="D17" s="15" t="s">
        <v>14</v>
      </c>
      <c r="E17" s="17">
        <v>14</v>
      </c>
      <c r="F17" s="17">
        <v>14</v>
      </c>
      <c r="G17" s="17">
        <v>14</v>
      </c>
      <c r="H17" s="17">
        <v>14</v>
      </c>
      <c r="I17" s="17">
        <v>14</v>
      </c>
      <c r="J17" s="17">
        <v>14</v>
      </c>
      <c r="K17" s="17">
        <v>14</v>
      </c>
      <c r="L17" s="17">
        <v>14</v>
      </c>
      <c r="M17" s="17">
        <v>14</v>
      </c>
      <c r="N17" s="17">
        <v>14</v>
      </c>
      <c r="O17" s="17">
        <v>14</v>
      </c>
      <c r="P17" s="17">
        <v>14</v>
      </c>
      <c r="Q17" s="17">
        <v>14</v>
      </c>
      <c r="R17" s="17">
        <v>14</v>
      </c>
      <c r="S17" s="17">
        <v>14</v>
      </c>
      <c r="T17" s="17">
        <v>11</v>
      </c>
      <c r="U17" s="17">
        <v>11</v>
      </c>
      <c r="V17" s="17">
        <v>11</v>
      </c>
      <c r="W17" s="17">
        <v>10</v>
      </c>
      <c r="X17" s="17">
        <v>10</v>
      </c>
      <c r="Y17" s="17">
        <v>10</v>
      </c>
      <c r="Z17" s="17">
        <v>10</v>
      </c>
      <c r="AA17" s="17">
        <v>10</v>
      </c>
      <c r="AB17" s="17">
        <v>10</v>
      </c>
      <c r="AC17" s="17">
        <v>10</v>
      </c>
      <c r="AD17" s="17">
        <v>10</v>
      </c>
      <c r="AE17" s="17">
        <v>10</v>
      </c>
      <c r="AF17" s="17">
        <v>10</v>
      </c>
      <c r="AG17" s="17">
        <v>10</v>
      </c>
      <c r="AH17" s="17">
        <v>10</v>
      </c>
      <c r="AI17" s="17">
        <v>10</v>
      </c>
      <c r="AJ17" s="17">
        <v>10</v>
      </c>
      <c r="AK17" s="17">
        <v>10</v>
      </c>
      <c r="AL17" s="17">
        <v>10</v>
      </c>
      <c r="AM17" s="17">
        <v>10</v>
      </c>
      <c r="AN17" s="17">
        <v>10</v>
      </c>
      <c r="AO17" s="17">
        <v>10</v>
      </c>
      <c r="AP17" s="17">
        <v>10</v>
      </c>
      <c r="AQ17" s="17">
        <v>9</v>
      </c>
      <c r="AR17" s="17">
        <v>9</v>
      </c>
      <c r="AS17" s="17">
        <v>8</v>
      </c>
      <c r="AT17" s="17">
        <v>8</v>
      </c>
      <c r="AU17" s="17">
        <v>9</v>
      </c>
      <c r="AV17" s="17">
        <v>9</v>
      </c>
      <c r="AW17" s="17">
        <v>9</v>
      </c>
      <c r="AX17" s="17">
        <v>9</v>
      </c>
      <c r="AY17" s="17">
        <v>9</v>
      </c>
      <c r="AZ17" s="17">
        <v>8</v>
      </c>
      <c r="BA17" s="17">
        <v>8</v>
      </c>
      <c r="BB17" s="17">
        <v>9</v>
      </c>
      <c r="BC17" s="17">
        <v>9</v>
      </c>
      <c r="BD17" s="17">
        <v>9</v>
      </c>
      <c r="BE17" s="17">
        <v>9</v>
      </c>
      <c r="BF17" s="17">
        <v>9</v>
      </c>
      <c r="BG17" s="17">
        <v>9</v>
      </c>
      <c r="BH17" s="17">
        <v>9</v>
      </c>
      <c r="BI17" s="17">
        <v>9</v>
      </c>
      <c r="BJ17" s="17">
        <v>9</v>
      </c>
      <c r="BK17" s="17">
        <v>9</v>
      </c>
      <c r="BL17" s="17">
        <v>9</v>
      </c>
      <c r="BM17" s="17">
        <v>7</v>
      </c>
      <c r="BN17" s="17">
        <v>17</v>
      </c>
      <c r="BO17" s="17">
        <v>16</v>
      </c>
      <c r="BP17" s="17">
        <v>16</v>
      </c>
      <c r="BQ17" s="17">
        <v>16</v>
      </c>
      <c r="BR17" s="17">
        <v>16</v>
      </c>
      <c r="BS17" s="17">
        <v>16</v>
      </c>
      <c r="BT17" s="17">
        <v>16</v>
      </c>
      <c r="BU17" s="17">
        <v>16</v>
      </c>
      <c r="BV17" s="17">
        <v>16</v>
      </c>
      <c r="BW17" s="17">
        <v>16</v>
      </c>
      <c r="BX17" s="17">
        <v>15</v>
      </c>
      <c r="BY17" s="17">
        <v>15</v>
      </c>
      <c r="BZ17" s="17">
        <v>15</v>
      </c>
      <c r="CA17" s="17">
        <v>15</v>
      </c>
      <c r="CB17" s="17">
        <v>15</v>
      </c>
      <c r="CC17" s="17">
        <v>14</v>
      </c>
      <c r="CD17" s="17">
        <v>14</v>
      </c>
      <c r="CE17" s="17">
        <v>13</v>
      </c>
      <c r="CF17" s="17">
        <v>13</v>
      </c>
      <c r="CG17" s="17">
        <v>12</v>
      </c>
      <c r="CH17" s="17">
        <v>13</v>
      </c>
      <c r="CI17" s="17">
        <v>12</v>
      </c>
      <c r="CJ17" s="17">
        <v>12</v>
      </c>
      <c r="CK17" s="17">
        <v>11</v>
      </c>
      <c r="CL17" s="17">
        <v>11</v>
      </c>
      <c r="CM17" s="17">
        <v>11</v>
      </c>
      <c r="CN17" s="17">
        <v>10</v>
      </c>
      <c r="CO17" s="17">
        <v>10</v>
      </c>
      <c r="CP17" s="17">
        <v>10</v>
      </c>
      <c r="CQ17" s="17">
        <v>10</v>
      </c>
      <c r="CR17" s="17">
        <v>10</v>
      </c>
      <c r="CS17" s="17">
        <v>10</v>
      </c>
      <c r="CT17" s="17">
        <v>10</v>
      </c>
      <c r="CU17" s="17">
        <v>10</v>
      </c>
      <c r="CV17" s="17">
        <v>10</v>
      </c>
      <c r="CW17" s="17">
        <v>10</v>
      </c>
      <c r="CX17" s="17">
        <v>10</v>
      </c>
      <c r="CY17" s="17">
        <v>10</v>
      </c>
      <c r="CZ17" s="17">
        <v>10</v>
      </c>
      <c r="DA17" s="17">
        <v>10</v>
      </c>
      <c r="DB17" s="17">
        <v>10</v>
      </c>
      <c r="DC17" s="17">
        <v>10</v>
      </c>
      <c r="DD17" s="17">
        <v>10</v>
      </c>
      <c r="DE17" s="17">
        <v>10</v>
      </c>
      <c r="DF17" s="17">
        <v>10</v>
      </c>
      <c r="DG17" s="17">
        <v>10</v>
      </c>
      <c r="DH17" s="17">
        <v>10</v>
      </c>
      <c r="DI17" s="17">
        <v>10</v>
      </c>
      <c r="DJ17" s="17">
        <v>10</v>
      </c>
      <c r="DK17" s="17">
        <v>10</v>
      </c>
      <c r="DL17" s="17">
        <v>10</v>
      </c>
      <c r="DM17" s="17">
        <v>10</v>
      </c>
      <c r="DN17" s="17">
        <v>10</v>
      </c>
      <c r="DO17" s="17">
        <v>10</v>
      </c>
      <c r="DP17" s="17">
        <v>10</v>
      </c>
      <c r="DQ17" s="17">
        <v>10</v>
      </c>
      <c r="DR17" s="17">
        <v>10</v>
      </c>
      <c r="DS17" s="17">
        <v>10</v>
      </c>
      <c r="DT17" s="17">
        <v>10</v>
      </c>
      <c r="DU17" s="17">
        <v>10</v>
      </c>
      <c r="DV17" s="17">
        <v>10</v>
      </c>
      <c r="DW17" s="17">
        <v>10</v>
      </c>
      <c r="DX17" s="17">
        <v>9</v>
      </c>
      <c r="DY17" s="17">
        <v>9</v>
      </c>
      <c r="DZ17" s="17">
        <v>9</v>
      </c>
      <c r="EA17" s="17">
        <v>9</v>
      </c>
      <c r="EB17" s="17">
        <v>9</v>
      </c>
      <c r="EC17" s="17">
        <v>9</v>
      </c>
      <c r="ED17" s="17">
        <v>8</v>
      </c>
      <c r="EE17" s="17">
        <v>9</v>
      </c>
      <c r="EF17" s="17">
        <v>9</v>
      </c>
      <c r="EG17" s="17">
        <v>9</v>
      </c>
      <c r="EH17" s="17">
        <v>9</v>
      </c>
      <c r="EI17" s="17">
        <v>8</v>
      </c>
      <c r="EJ17" s="17">
        <v>8</v>
      </c>
      <c r="EK17" s="17">
        <v>8</v>
      </c>
      <c r="EL17" s="17">
        <v>8</v>
      </c>
      <c r="EM17" s="17">
        <v>7</v>
      </c>
      <c r="EN17" s="17">
        <v>7</v>
      </c>
      <c r="EO17" s="17">
        <v>7</v>
      </c>
      <c r="EP17" s="17">
        <v>7</v>
      </c>
      <c r="EQ17" s="17">
        <v>6</v>
      </c>
      <c r="ER17" s="17">
        <v>6</v>
      </c>
      <c r="ES17" s="17">
        <v>6</v>
      </c>
      <c r="ET17" s="17">
        <v>6</v>
      </c>
      <c r="EU17" s="17">
        <v>11</v>
      </c>
      <c r="EV17" s="17">
        <v>11</v>
      </c>
      <c r="EW17" s="17">
        <v>11</v>
      </c>
      <c r="EX17" s="17">
        <v>11</v>
      </c>
      <c r="EY17" s="17">
        <v>11</v>
      </c>
    </row>
    <row r="18" spans="1:155" x14ac:dyDescent="0.3">
      <c r="A18" s="38"/>
      <c r="B18" s="38"/>
      <c r="C18" s="38"/>
      <c r="D18" s="15" t="s">
        <v>28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>
        <v>10</v>
      </c>
      <c r="AC18" s="17">
        <v>10</v>
      </c>
      <c r="AD18" s="17">
        <v>10</v>
      </c>
      <c r="AE18" s="17">
        <v>10</v>
      </c>
      <c r="AF18" s="17">
        <v>10</v>
      </c>
      <c r="AG18" s="17">
        <v>10</v>
      </c>
      <c r="AH18" s="17">
        <v>10</v>
      </c>
      <c r="AI18" s="17">
        <v>10</v>
      </c>
      <c r="AJ18" s="17">
        <v>10</v>
      </c>
      <c r="AK18" s="17">
        <v>10</v>
      </c>
      <c r="AL18" s="17">
        <v>10</v>
      </c>
      <c r="AM18" s="17">
        <v>10</v>
      </c>
      <c r="AN18" s="17">
        <v>10</v>
      </c>
      <c r="AO18" s="17">
        <v>10</v>
      </c>
      <c r="AP18" s="17">
        <v>10</v>
      </c>
      <c r="AQ18" s="17">
        <v>9</v>
      </c>
      <c r="AR18" s="17">
        <v>9</v>
      </c>
      <c r="AS18" s="17">
        <v>8</v>
      </c>
      <c r="AT18" s="17">
        <v>8</v>
      </c>
      <c r="AU18" s="17">
        <v>9</v>
      </c>
      <c r="AV18" s="17">
        <v>9</v>
      </c>
      <c r="AW18" s="17">
        <v>9</v>
      </c>
      <c r="AX18" s="17">
        <v>9</v>
      </c>
      <c r="AY18" s="17">
        <v>9</v>
      </c>
      <c r="AZ18" s="17">
        <v>8</v>
      </c>
      <c r="BA18" s="17">
        <v>8</v>
      </c>
      <c r="BB18" s="17">
        <v>9</v>
      </c>
      <c r="BC18" s="17">
        <v>9</v>
      </c>
      <c r="BD18" s="17">
        <v>9</v>
      </c>
      <c r="BE18" s="17">
        <v>9</v>
      </c>
      <c r="BF18" s="17">
        <v>9</v>
      </c>
      <c r="BG18" s="17">
        <v>9</v>
      </c>
      <c r="BH18" s="17">
        <v>9</v>
      </c>
      <c r="BI18" s="17">
        <v>9</v>
      </c>
      <c r="BJ18" s="17">
        <v>9</v>
      </c>
      <c r="BK18" s="17">
        <v>9</v>
      </c>
      <c r="BL18" s="17">
        <v>9</v>
      </c>
      <c r="BM18" s="17">
        <v>7</v>
      </c>
      <c r="BN18" s="17">
        <v>17</v>
      </c>
      <c r="BO18" s="17">
        <v>16</v>
      </c>
      <c r="BP18" s="17">
        <v>16</v>
      </c>
      <c r="BQ18" s="17">
        <v>16</v>
      </c>
      <c r="BR18" s="17">
        <v>16</v>
      </c>
      <c r="BS18" s="17">
        <v>16</v>
      </c>
      <c r="BT18" s="17">
        <v>16</v>
      </c>
      <c r="BU18" s="17">
        <v>16</v>
      </c>
      <c r="BV18" s="17">
        <v>16</v>
      </c>
      <c r="BW18" s="17">
        <v>16</v>
      </c>
      <c r="BX18" s="17">
        <v>15</v>
      </c>
      <c r="BY18" s="17">
        <v>15</v>
      </c>
      <c r="BZ18" s="17">
        <v>15</v>
      </c>
      <c r="CA18" s="17">
        <v>15</v>
      </c>
      <c r="CB18" s="17">
        <v>15</v>
      </c>
      <c r="CC18" s="17">
        <v>14</v>
      </c>
      <c r="CD18" s="17">
        <v>14</v>
      </c>
      <c r="CE18" s="17">
        <v>13</v>
      </c>
      <c r="CF18" s="17">
        <v>13</v>
      </c>
      <c r="CG18" s="17">
        <v>12</v>
      </c>
      <c r="CH18" s="17">
        <v>13</v>
      </c>
      <c r="CI18" s="17">
        <v>12</v>
      </c>
      <c r="CJ18" s="17">
        <v>12</v>
      </c>
      <c r="CK18" s="17">
        <v>11</v>
      </c>
      <c r="CL18" s="17">
        <v>11</v>
      </c>
      <c r="CM18" s="17">
        <v>11</v>
      </c>
      <c r="CN18" s="17">
        <v>10</v>
      </c>
      <c r="CO18" s="17">
        <v>10</v>
      </c>
      <c r="CP18" s="17">
        <v>10</v>
      </c>
      <c r="CQ18" s="17">
        <v>10</v>
      </c>
      <c r="CR18" s="17">
        <v>10</v>
      </c>
      <c r="CS18" s="17">
        <v>10</v>
      </c>
      <c r="CT18" s="17">
        <v>10</v>
      </c>
      <c r="CU18" s="17">
        <v>10</v>
      </c>
      <c r="CV18" s="17">
        <v>10</v>
      </c>
      <c r="CW18" s="17">
        <v>10</v>
      </c>
      <c r="CX18" s="17">
        <v>10</v>
      </c>
      <c r="CY18" s="17">
        <v>10</v>
      </c>
      <c r="CZ18" s="17">
        <v>10</v>
      </c>
      <c r="DA18" s="17">
        <v>10</v>
      </c>
      <c r="DB18" s="17">
        <v>10</v>
      </c>
      <c r="DC18" s="17">
        <v>10</v>
      </c>
      <c r="DD18" s="17">
        <v>10</v>
      </c>
      <c r="DE18" s="17">
        <v>10</v>
      </c>
      <c r="DF18" s="17">
        <v>10</v>
      </c>
      <c r="DG18" s="17">
        <v>10</v>
      </c>
      <c r="DH18" s="17">
        <v>10</v>
      </c>
      <c r="DI18" s="17">
        <v>10</v>
      </c>
      <c r="DJ18" s="17">
        <v>10</v>
      </c>
      <c r="DK18" s="17">
        <v>10</v>
      </c>
      <c r="DL18" s="17">
        <v>10</v>
      </c>
      <c r="DM18" s="17">
        <v>10</v>
      </c>
      <c r="DN18" s="17">
        <v>10</v>
      </c>
      <c r="DO18" s="17">
        <v>10</v>
      </c>
      <c r="DP18" s="17">
        <v>10</v>
      </c>
      <c r="DQ18" s="17">
        <v>10</v>
      </c>
      <c r="DR18" s="17">
        <v>10</v>
      </c>
      <c r="DS18" s="17">
        <v>10</v>
      </c>
      <c r="DT18" s="17">
        <v>10</v>
      </c>
      <c r="DU18" s="17">
        <v>10</v>
      </c>
      <c r="DV18" s="17">
        <v>10</v>
      </c>
      <c r="DW18" s="17">
        <v>10</v>
      </c>
      <c r="DX18" s="17">
        <v>9</v>
      </c>
      <c r="DY18" s="17">
        <v>9</v>
      </c>
      <c r="DZ18" s="17">
        <v>9</v>
      </c>
      <c r="EA18" s="17">
        <v>9</v>
      </c>
      <c r="EB18" s="17">
        <v>9</v>
      </c>
      <c r="EC18" s="17">
        <v>9</v>
      </c>
      <c r="ED18" s="17">
        <v>8</v>
      </c>
      <c r="EE18" s="17">
        <v>9</v>
      </c>
      <c r="EF18" s="17">
        <v>9</v>
      </c>
      <c r="EG18" s="17">
        <v>9</v>
      </c>
      <c r="EH18" s="17">
        <v>9</v>
      </c>
      <c r="EI18" s="17">
        <v>8</v>
      </c>
      <c r="EJ18" s="17">
        <v>8</v>
      </c>
      <c r="EK18" s="17">
        <v>8</v>
      </c>
      <c r="EL18" s="17">
        <v>8</v>
      </c>
      <c r="EM18" s="17">
        <v>7</v>
      </c>
      <c r="EN18" s="17">
        <v>7</v>
      </c>
      <c r="EO18" s="17">
        <v>7</v>
      </c>
      <c r="EP18" s="17">
        <v>7</v>
      </c>
      <c r="EQ18" s="17">
        <v>6</v>
      </c>
      <c r="ER18" s="17">
        <v>6</v>
      </c>
      <c r="ES18" s="17">
        <v>6</v>
      </c>
      <c r="ET18" s="17">
        <v>6</v>
      </c>
      <c r="EU18" s="17">
        <v>11</v>
      </c>
      <c r="EV18" s="17">
        <v>11</v>
      </c>
      <c r="EW18" s="17">
        <v>11</v>
      </c>
      <c r="EX18" s="17">
        <v>11</v>
      </c>
      <c r="EY18" s="17">
        <v>11</v>
      </c>
    </row>
    <row r="19" spans="1:155" x14ac:dyDescent="0.3">
      <c r="A19" s="38"/>
      <c r="B19" s="38"/>
      <c r="C19" s="38"/>
      <c r="D19" s="15" t="s">
        <v>15</v>
      </c>
      <c r="E19" s="18">
        <v>12</v>
      </c>
      <c r="F19" s="18">
        <v>12</v>
      </c>
      <c r="G19" s="18">
        <v>12</v>
      </c>
      <c r="H19" s="18">
        <v>12</v>
      </c>
      <c r="I19" s="18">
        <v>12</v>
      </c>
      <c r="J19" s="18">
        <v>12</v>
      </c>
      <c r="K19" s="18">
        <v>12</v>
      </c>
      <c r="L19" s="18">
        <v>12</v>
      </c>
      <c r="M19" s="18">
        <v>11</v>
      </c>
      <c r="N19" s="18">
        <v>11</v>
      </c>
      <c r="O19" s="18">
        <v>11</v>
      </c>
      <c r="P19" s="18">
        <v>11</v>
      </c>
      <c r="Q19" s="18">
        <v>11</v>
      </c>
      <c r="R19" s="18">
        <v>11</v>
      </c>
      <c r="S19" s="18">
        <v>11</v>
      </c>
      <c r="T19" s="18">
        <v>11</v>
      </c>
      <c r="U19" s="18">
        <v>11</v>
      </c>
      <c r="V19" s="18">
        <v>11</v>
      </c>
      <c r="W19" s="18">
        <v>10</v>
      </c>
      <c r="X19" s="18">
        <v>10</v>
      </c>
      <c r="Y19" s="18">
        <v>10</v>
      </c>
      <c r="Z19" s="18">
        <v>10</v>
      </c>
      <c r="AA19" s="18">
        <v>10</v>
      </c>
      <c r="AB19" s="18">
        <v>10</v>
      </c>
      <c r="AC19" s="18">
        <f>AC18</f>
        <v>10</v>
      </c>
      <c r="AD19" s="18">
        <f t="shared" ref="AD19:AS19" si="175">AD18</f>
        <v>10</v>
      </c>
      <c r="AE19" s="18">
        <f t="shared" si="175"/>
        <v>10</v>
      </c>
      <c r="AF19" s="18">
        <f t="shared" si="175"/>
        <v>10</v>
      </c>
      <c r="AG19" s="18">
        <f t="shared" si="175"/>
        <v>10</v>
      </c>
      <c r="AH19" s="18">
        <f t="shared" si="175"/>
        <v>10</v>
      </c>
      <c r="AI19" s="18">
        <f t="shared" si="175"/>
        <v>10</v>
      </c>
      <c r="AJ19" s="18">
        <f t="shared" si="175"/>
        <v>10</v>
      </c>
      <c r="AK19" s="18">
        <f t="shared" si="175"/>
        <v>10</v>
      </c>
      <c r="AL19" s="18">
        <f t="shared" si="175"/>
        <v>10</v>
      </c>
      <c r="AM19" s="18">
        <f t="shared" si="175"/>
        <v>10</v>
      </c>
      <c r="AN19" s="18">
        <f t="shared" si="175"/>
        <v>10</v>
      </c>
      <c r="AO19" s="18">
        <f t="shared" si="175"/>
        <v>10</v>
      </c>
      <c r="AP19" s="18">
        <f t="shared" si="175"/>
        <v>10</v>
      </c>
      <c r="AQ19" s="18">
        <f t="shared" si="175"/>
        <v>9</v>
      </c>
      <c r="AR19" s="18">
        <f t="shared" si="175"/>
        <v>9</v>
      </c>
      <c r="AS19" s="18">
        <f t="shared" si="175"/>
        <v>8</v>
      </c>
      <c r="AT19" s="18">
        <f>AT18</f>
        <v>8</v>
      </c>
      <c r="AU19" s="18">
        <f>AU18</f>
        <v>9</v>
      </c>
      <c r="AV19" s="18">
        <f>AV18</f>
        <v>9</v>
      </c>
      <c r="AW19" s="18">
        <f>AW18</f>
        <v>9</v>
      </c>
      <c r="AX19" s="18">
        <f t="shared" ref="AX19:BB19" si="176">AX18</f>
        <v>9</v>
      </c>
      <c r="AY19" s="18">
        <f t="shared" si="176"/>
        <v>9</v>
      </c>
      <c r="AZ19" s="18">
        <f t="shared" si="176"/>
        <v>8</v>
      </c>
      <c r="BA19" s="18">
        <f t="shared" si="176"/>
        <v>8</v>
      </c>
      <c r="BB19" s="18">
        <f t="shared" si="176"/>
        <v>9</v>
      </c>
      <c r="BC19" s="18">
        <f t="shared" ref="BC19:BG19" si="177">BC18</f>
        <v>9</v>
      </c>
      <c r="BD19" s="18">
        <f t="shared" si="177"/>
        <v>9</v>
      </c>
      <c r="BE19" s="18">
        <f t="shared" si="177"/>
        <v>9</v>
      </c>
      <c r="BF19" s="18">
        <f t="shared" si="177"/>
        <v>9</v>
      </c>
      <c r="BG19" s="18">
        <f t="shared" si="177"/>
        <v>9</v>
      </c>
      <c r="BH19" s="18">
        <f t="shared" ref="BH19:BM19" si="178">BH18</f>
        <v>9</v>
      </c>
      <c r="BI19" s="18">
        <f t="shared" si="178"/>
        <v>9</v>
      </c>
      <c r="BJ19" s="18">
        <f t="shared" si="178"/>
        <v>9</v>
      </c>
      <c r="BK19" s="18">
        <f t="shared" si="178"/>
        <v>9</v>
      </c>
      <c r="BL19" s="18">
        <f t="shared" si="178"/>
        <v>9</v>
      </c>
      <c r="BM19" s="18">
        <f t="shared" si="178"/>
        <v>7</v>
      </c>
      <c r="BN19" s="18">
        <f t="shared" ref="BN19:BO19" si="179">BN18</f>
        <v>17</v>
      </c>
      <c r="BO19" s="18">
        <f t="shared" si="179"/>
        <v>16</v>
      </c>
      <c r="BP19" s="18">
        <f t="shared" ref="BP19:CW19" si="180">BP18</f>
        <v>16</v>
      </c>
      <c r="BQ19" s="18">
        <f t="shared" si="180"/>
        <v>16</v>
      </c>
      <c r="BR19" s="18">
        <f t="shared" si="180"/>
        <v>16</v>
      </c>
      <c r="BS19" s="18">
        <f t="shared" si="180"/>
        <v>16</v>
      </c>
      <c r="BT19" s="18">
        <f t="shared" si="180"/>
        <v>16</v>
      </c>
      <c r="BU19" s="18">
        <f t="shared" si="180"/>
        <v>16</v>
      </c>
      <c r="BV19" s="18">
        <f t="shared" si="180"/>
        <v>16</v>
      </c>
      <c r="BW19" s="18">
        <f t="shared" si="180"/>
        <v>16</v>
      </c>
      <c r="BX19" s="18">
        <f t="shared" si="180"/>
        <v>15</v>
      </c>
      <c r="BY19" s="18">
        <f t="shared" si="180"/>
        <v>15</v>
      </c>
      <c r="BZ19" s="18">
        <f t="shared" si="180"/>
        <v>15</v>
      </c>
      <c r="CA19" s="18">
        <f t="shared" si="180"/>
        <v>15</v>
      </c>
      <c r="CB19" s="18">
        <f t="shared" si="180"/>
        <v>15</v>
      </c>
      <c r="CC19" s="18">
        <f t="shared" si="180"/>
        <v>14</v>
      </c>
      <c r="CD19" s="18">
        <f t="shared" si="180"/>
        <v>14</v>
      </c>
      <c r="CE19" s="18">
        <f t="shared" si="180"/>
        <v>13</v>
      </c>
      <c r="CF19" s="18">
        <f t="shared" si="180"/>
        <v>13</v>
      </c>
      <c r="CG19" s="18">
        <f t="shared" si="180"/>
        <v>12</v>
      </c>
      <c r="CH19" s="18">
        <f t="shared" si="180"/>
        <v>13</v>
      </c>
      <c r="CI19" s="18">
        <f t="shared" si="180"/>
        <v>12</v>
      </c>
      <c r="CJ19" s="18">
        <f t="shared" si="180"/>
        <v>12</v>
      </c>
      <c r="CK19" s="18">
        <f t="shared" si="180"/>
        <v>11</v>
      </c>
      <c r="CL19" s="18">
        <f t="shared" si="180"/>
        <v>11</v>
      </c>
      <c r="CM19" s="18">
        <f t="shared" si="180"/>
        <v>11</v>
      </c>
      <c r="CN19" s="18">
        <f t="shared" si="180"/>
        <v>10</v>
      </c>
      <c r="CO19" s="18">
        <f t="shared" si="180"/>
        <v>10</v>
      </c>
      <c r="CP19" s="18">
        <f t="shared" si="180"/>
        <v>10</v>
      </c>
      <c r="CQ19" s="18">
        <f t="shared" si="180"/>
        <v>10</v>
      </c>
      <c r="CR19" s="18">
        <f t="shared" si="180"/>
        <v>10</v>
      </c>
      <c r="CS19" s="18">
        <f t="shared" si="180"/>
        <v>10</v>
      </c>
      <c r="CT19" s="18">
        <f t="shared" si="180"/>
        <v>10</v>
      </c>
      <c r="CU19" s="18">
        <f t="shared" si="180"/>
        <v>10</v>
      </c>
      <c r="CV19" s="18">
        <f t="shared" si="180"/>
        <v>10</v>
      </c>
      <c r="CW19" s="18">
        <f t="shared" si="180"/>
        <v>10</v>
      </c>
      <c r="CX19" s="18">
        <f t="shared" ref="CX19:CY19" si="181">CX18</f>
        <v>10</v>
      </c>
      <c r="CY19" s="18">
        <f t="shared" si="181"/>
        <v>10</v>
      </c>
      <c r="CZ19" s="18">
        <f t="shared" ref="CZ19:EV19" si="182">CZ18</f>
        <v>10</v>
      </c>
      <c r="DA19" s="18">
        <f t="shared" si="182"/>
        <v>10</v>
      </c>
      <c r="DB19" s="18">
        <f t="shared" si="182"/>
        <v>10</v>
      </c>
      <c r="DC19" s="18">
        <f t="shared" si="182"/>
        <v>10</v>
      </c>
      <c r="DD19" s="18">
        <f t="shared" si="182"/>
        <v>10</v>
      </c>
      <c r="DE19" s="18">
        <f t="shared" si="182"/>
        <v>10</v>
      </c>
      <c r="DF19" s="18">
        <f t="shared" si="182"/>
        <v>10</v>
      </c>
      <c r="DG19" s="18">
        <f t="shared" si="182"/>
        <v>10</v>
      </c>
      <c r="DH19" s="18">
        <f t="shared" si="182"/>
        <v>10</v>
      </c>
      <c r="DI19" s="18">
        <f t="shared" si="182"/>
        <v>10</v>
      </c>
      <c r="DJ19" s="18">
        <f t="shared" si="182"/>
        <v>10</v>
      </c>
      <c r="DK19" s="18">
        <f t="shared" si="182"/>
        <v>10</v>
      </c>
      <c r="DL19" s="18">
        <f t="shared" si="182"/>
        <v>10</v>
      </c>
      <c r="DM19" s="18">
        <f t="shared" si="182"/>
        <v>10</v>
      </c>
      <c r="DN19" s="18">
        <f t="shared" si="182"/>
        <v>10</v>
      </c>
      <c r="DO19" s="18">
        <f t="shared" si="182"/>
        <v>10</v>
      </c>
      <c r="DP19" s="18">
        <f t="shared" si="182"/>
        <v>10</v>
      </c>
      <c r="DQ19" s="18">
        <f t="shared" si="182"/>
        <v>10</v>
      </c>
      <c r="DR19" s="18">
        <f t="shared" si="182"/>
        <v>10</v>
      </c>
      <c r="DS19" s="18">
        <f t="shared" si="182"/>
        <v>10</v>
      </c>
      <c r="DT19" s="18">
        <f t="shared" si="182"/>
        <v>10</v>
      </c>
      <c r="DU19" s="18">
        <f t="shared" si="182"/>
        <v>10</v>
      </c>
      <c r="DV19" s="18">
        <f t="shared" si="182"/>
        <v>10</v>
      </c>
      <c r="DW19" s="18">
        <f t="shared" si="182"/>
        <v>10</v>
      </c>
      <c r="DX19" s="18">
        <f t="shared" si="182"/>
        <v>9</v>
      </c>
      <c r="DY19" s="18">
        <f t="shared" si="182"/>
        <v>9</v>
      </c>
      <c r="DZ19" s="18">
        <f t="shared" si="182"/>
        <v>9</v>
      </c>
      <c r="EA19" s="18">
        <f t="shared" si="182"/>
        <v>9</v>
      </c>
      <c r="EB19" s="18">
        <f t="shared" si="182"/>
        <v>9</v>
      </c>
      <c r="EC19" s="18">
        <f t="shared" si="182"/>
        <v>9</v>
      </c>
      <c r="ED19" s="18">
        <f t="shared" si="182"/>
        <v>8</v>
      </c>
      <c r="EE19" s="18">
        <f t="shared" si="182"/>
        <v>9</v>
      </c>
      <c r="EF19" s="18">
        <f t="shared" si="182"/>
        <v>9</v>
      </c>
      <c r="EG19" s="18">
        <f t="shared" si="182"/>
        <v>9</v>
      </c>
      <c r="EH19" s="18">
        <f t="shared" si="182"/>
        <v>9</v>
      </c>
      <c r="EI19" s="18">
        <f t="shared" si="182"/>
        <v>8</v>
      </c>
      <c r="EJ19" s="18">
        <f t="shared" si="182"/>
        <v>8</v>
      </c>
      <c r="EK19" s="18">
        <f t="shared" si="182"/>
        <v>8</v>
      </c>
      <c r="EL19" s="18">
        <f t="shared" si="182"/>
        <v>8</v>
      </c>
      <c r="EM19" s="18">
        <f t="shared" si="182"/>
        <v>7</v>
      </c>
      <c r="EN19" s="18">
        <f t="shared" si="182"/>
        <v>7</v>
      </c>
      <c r="EO19" s="18">
        <f t="shared" si="182"/>
        <v>7</v>
      </c>
      <c r="EP19" s="18">
        <f t="shared" si="182"/>
        <v>7</v>
      </c>
      <c r="EQ19" s="18">
        <f t="shared" si="182"/>
        <v>6</v>
      </c>
      <c r="ER19" s="18">
        <f t="shared" si="182"/>
        <v>6</v>
      </c>
      <c r="ES19" s="18">
        <f t="shared" si="182"/>
        <v>6</v>
      </c>
      <c r="ET19" s="18">
        <f t="shared" si="182"/>
        <v>6</v>
      </c>
      <c r="EU19" s="18">
        <f t="shared" si="182"/>
        <v>11</v>
      </c>
      <c r="EV19" s="18">
        <f t="shared" si="182"/>
        <v>11</v>
      </c>
      <c r="EW19" s="18">
        <f t="shared" ref="EW19:EY19" si="183">EW18</f>
        <v>11</v>
      </c>
      <c r="EX19" s="18">
        <f t="shared" si="183"/>
        <v>11</v>
      </c>
      <c r="EY19" s="18">
        <f t="shared" si="183"/>
        <v>11</v>
      </c>
    </row>
    <row r="20" spans="1:155" x14ac:dyDescent="0.3">
      <c r="A20" s="38"/>
      <c r="B20" s="38"/>
      <c r="C20" s="38"/>
      <c r="D20" s="15" t="s">
        <v>16</v>
      </c>
      <c r="E20" s="19">
        <f t="shared" ref="E20:AW20" si="184">E19/E16</f>
        <v>0.8</v>
      </c>
      <c r="F20" s="19">
        <f t="shared" si="184"/>
        <v>0.8</v>
      </c>
      <c r="G20" s="19">
        <f t="shared" si="184"/>
        <v>0.8</v>
      </c>
      <c r="H20" s="19">
        <f t="shared" si="184"/>
        <v>0.8</v>
      </c>
      <c r="I20" s="19">
        <f t="shared" si="184"/>
        <v>0.8</v>
      </c>
      <c r="J20" s="19">
        <f t="shared" si="184"/>
        <v>0.8</v>
      </c>
      <c r="K20" s="19">
        <f t="shared" si="184"/>
        <v>0.8</v>
      </c>
      <c r="L20" s="19">
        <f t="shared" si="184"/>
        <v>0.8</v>
      </c>
      <c r="M20" s="19">
        <f t="shared" si="184"/>
        <v>0.73333333333333328</v>
      </c>
      <c r="N20" s="19">
        <f t="shared" si="184"/>
        <v>0.73333333333333328</v>
      </c>
      <c r="O20" s="19">
        <f t="shared" si="184"/>
        <v>0.73333333333333328</v>
      </c>
      <c r="P20" s="19">
        <f t="shared" si="184"/>
        <v>0.73333333333333328</v>
      </c>
      <c r="Q20" s="19">
        <f t="shared" si="184"/>
        <v>0.73333333333333328</v>
      </c>
      <c r="R20" s="19">
        <f t="shared" si="184"/>
        <v>0.73333333333333328</v>
      </c>
      <c r="S20" s="19">
        <f t="shared" si="184"/>
        <v>0.73333333333333328</v>
      </c>
      <c r="T20" s="19">
        <f t="shared" si="184"/>
        <v>0.73333333333333328</v>
      </c>
      <c r="U20" s="19">
        <f t="shared" si="184"/>
        <v>0.73333333333333328</v>
      </c>
      <c r="V20" s="19">
        <f t="shared" si="184"/>
        <v>0.73333333333333328</v>
      </c>
      <c r="W20" s="19">
        <f t="shared" si="184"/>
        <v>0.66666666666666663</v>
      </c>
      <c r="X20" s="19">
        <f t="shared" si="184"/>
        <v>0.66666666666666663</v>
      </c>
      <c r="Y20" s="19">
        <f t="shared" si="184"/>
        <v>0.66666666666666663</v>
      </c>
      <c r="Z20" s="19">
        <f t="shared" si="184"/>
        <v>0.66666666666666663</v>
      </c>
      <c r="AA20" s="19">
        <f t="shared" si="184"/>
        <v>0.66666666666666663</v>
      </c>
      <c r="AB20" s="19">
        <f t="shared" si="184"/>
        <v>0.66666666666666663</v>
      </c>
      <c r="AC20" s="19">
        <f t="shared" si="184"/>
        <v>0.66666666666666663</v>
      </c>
      <c r="AD20" s="19">
        <f t="shared" si="184"/>
        <v>0.66666666666666663</v>
      </c>
      <c r="AE20" s="19">
        <f t="shared" si="184"/>
        <v>0.66666666666666663</v>
      </c>
      <c r="AF20" s="19">
        <f t="shared" si="184"/>
        <v>0.66666666666666663</v>
      </c>
      <c r="AG20" s="19">
        <f t="shared" si="184"/>
        <v>0.66666666666666663</v>
      </c>
      <c r="AH20" s="19">
        <f t="shared" si="184"/>
        <v>0.66666666666666663</v>
      </c>
      <c r="AI20" s="19">
        <f t="shared" si="184"/>
        <v>0.66666666666666663</v>
      </c>
      <c r="AJ20" s="19">
        <f t="shared" si="184"/>
        <v>0.66666666666666663</v>
      </c>
      <c r="AK20" s="19">
        <f t="shared" si="184"/>
        <v>0.66666666666666663</v>
      </c>
      <c r="AL20" s="19">
        <f t="shared" si="184"/>
        <v>0.66666666666666663</v>
      </c>
      <c r="AM20" s="19">
        <f t="shared" si="184"/>
        <v>0.66666666666666663</v>
      </c>
      <c r="AN20" s="19">
        <f t="shared" si="184"/>
        <v>0.66666666666666663</v>
      </c>
      <c r="AO20" s="19">
        <f t="shared" si="184"/>
        <v>0.66666666666666663</v>
      </c>
      <c r="AP20" s="19">
        <f t="shared" si="184"/>
        <v>0.66666666666666663</v>
      </c>
      <c r="AQ20" s="19">
        <f t="shared" si="184"/>
        <v>0.6</v>
      </c>
      <c r="AR20" s="19">
        <f t="shared" si="184"/>
        <v>0.6</v>
      </c>
      <c r="AS20" s="19">
        <f t="shared" si="184"/>
        <v>0.53333333333333333</v>
      </c>
      <c r="AT20" s="19">
        <f t="shared" si="184"/>
        <v>0.53333333333333333</v>
      </c>
      <c r="AU20" s="19">
        <f t="shared" si="184"/>
        <v>0.6</v>
      </c>
      <c r="AV20" s="19">
        <f t="shared" si="184"/>
        <v>0.6</v>
      </c>
      <c r="AW20" s="19">
        <f t="shared" si="184"/>
        <v>0.6</v>
      </c>
      <c r="AX20" s="19" t="e">
        <f t="shared" ref="AX20:AZ20" si="185">AX19/AX16</f>
        <v>#DIV/0!</v>
      </c>
      <c r="AY20" s="19" t="e">
        <f t="shared" si="185"/>
        <v>#DIV/0!</v>
      </c>
      <c r="AZ20" s="19" t="e">
        <f t="shared" si="185"/>
        <v>#DIV/0!</v>
      </c>
      <c r="BA20" s="19" t="e">
        <f t="shared" ref="BA20:BB20" si="186">BA19/BA16</f>
        <v>#DIV/0!</v>
      </c>
      <c r="BB20" s="19" t="e">
        <f t="shared" si="186"/>
        <v>#DIV/0!</v>
      </c>
      <c r="BC20" s="19" t="e">
        <f t="shared" ref="BC20:BG20" si="187">BC19/BC16</f>
        <v>#DIV/0!</v>
      </c>
      <c r="BD20" s="19" t="e">
        <f t="shared" si="187"/>
        <v>#DIV/0!</v>
      </c>
      <c r="BE20" s="19" t="e">
        <f t="shared" si="187"/>
        <v>#DIV/0!</v>
      </c>
      <c r="BF20" s="19" t="e">
        <f t="shared" si="187"/>
        <v>#DIV/0!</v>
      </c>
      <c r="BG20" s="19" t="e">
        <f t="shared" si="187"/>
        <v>#DIV/0!</v>
      </c>
      <c r="BH20" s="19" t="e">
        <f t="shared" ref="BH20:BM20" si="188">BH19/BH16</f>
        <v>#DIV/0!</v>
      </c>
      <c r="BI20" s="19" t="e">
        <f t="shared" si="188"/>
        <v>#DIV/0!</v>
      </c>
      <c r="BJ20" s="19" t="e">
        <f t="shared" si="188"/>
        <v>#DIV/0!</v>
      </c>
      <c r="BK20" s="19" t="e">
        <f t="shared" si="188"/>
        <v>#DIV/0!</v>
      </c>
      <c r="BL20" s="19" t="e">
        <f t="shared" si="188"/>
        <v>#DIV/0!</v>
      </c>
      <c r="BM20" s="19" t="e">
        <f t="shared" si="188"/>
        <v>#DIV/0!</v>
      </c>
      <c r="BN20" s="19" t="e">
        <f t="shared" ref="BN20:BO20" si="189">BN19/BN16</f>
        <v>#DIV/0!</v>
      </c>
      <c r="BO20" s="19" t="e">
        <f t="shared" si="189"/>
        <v>#DIV/0!</v>
      </c>
      <c r="BP20" s="19" t="e">
        <f t="shared" ref="BP20:CW20" si="190">BP19/BP16</f>
        <v>#DIV/0!</v>
      </c>
      <c r="BQ20" s="19" t="e">
        <f t="shared" si="190"/>
        <v>#DIV/0!</v>
      </c>
      <c r="BR20" s="19" t="e">
        <f t="shared" si="190"/>
        <v>#DIV/0!</v>
      </c>
      <c r="BS20" s="19" t="e">
        <f t="shared" si="190"/>
        <v>#DIV/0!</v>
      </c>
      <c r="BT20" s="19" t="e">
        <f t="shared" si="190"/>
        <v>#DIV/0!</v>
      </c>
      <c r="BU20" s="19" t="e">
        <f t="shared" si="190"/>
        <v>#DIV/0!</v>
      </c>
      <c r="BV20" s="19" t="e">
        <f t="shared" si="190"/>
        <v>#DIV/0!</v>
      </c>
      <c r="BW20" s="19" t="e">
        <f t="shared" si="190"/>
        <v>#DIV/0!</v>
      </c>
      <c r="BX20" s="19" t="e">
        <f t="shared" si="190"/>
        <v>#DIV/0!</v>
      </c>
      <c r="BY20" s="19" t="e">
        <f t="shared" si="190"/>
        <v>#DIV/0!</v>
      </c>
      <c r="BZ20" s="19" t="e">
        <f t="shared" si="190"/>
        <v>#DIV/0!</v>
      </c>
      <c r="CA20" s="19" t="e">
        <f t="shared" si="190"/>
        <v>#DIV/0!</v>
      </c>
      <c r="CB20" s="19" t="e">
        <f t="shared" si="190"/>
        <v>#DIV/0!</v>
      </c>
      <c r="CC20" s="19" t="e">
        <f t="shared" si="190"/>
        <v>#DIV/0!</v>
      </c>
      <c r="CD20" s="19" t="e">
        <f t="shared" si="190"/>
        <v>#DIV/0!</v>
      </c>
      <c r="CE20" s="19" t="e">
        <f t="shared" si="190"/>
        <v>#DIV/0!</v>
      </c>
      <c r="CF20" s="19" t="e">
        <f t="shared" si="190"/>
        <v>#DIV/0!</v>
      </c>
      <c r="CG20" s="19" t="e">
        <f t="shared" si="190"/>
        <v>#DIV/0!</v>
      </c>
      <c r="CH20" s="19" t="e">
        <f t="shared" si="190"/>
        <v>#DIV/0!</v>
      </c>
      <c r="CI20" s="19" t="e">
        <f t="shared" si="190"/>
        <v>#DIV/0!</v>
      </c>
      <c r="CJ20" s="19" t="e">
        <f t="shared" si="190"/>
        <v>#DIV/0!</v>
      </c>
      <c r="CK20" s="19" t="e">
        <f t="shared" si="190"/>
        <v>#DIV/0!</v>
      </c>
      <c r="CL20" s="19" t="e">
        <f t="shared" si="190"/>
        <v>#DIV/0!</v>
      </c>
      <c r="CM20" s="19" t="e">
        <f t="shared" si="190"/>
        <v>#DIV/0!</v>
      </c>
      <c r="CN20" s="19" t="e">
        <f t="shared" si="190"/>
        <v>#DIV/0!</v>
      </c>
      <c r="CO20" s="19" t="e">
        <f t="shared" si="190"/>
        <v>#DIV/0!</v>
      </c>
      <c r="CP20" s="19" t="e">
        <f t="shared" si="190"/>
        <v>#DIV/0!</v>
      </c>
      <c r="CQ20" s="19" t="e">
        <f t="shared" si="190"/>
        <v>#DIV/0!</v>
      </c>
      <c r="CR20" s="19" t="e">
        <f t="shared" si="190"/>
        <v>#DIV/0!</v>
      </c>
      <c r="CS20" s="19" t="e">
        <f t="shared" si="190"/>
        <v>#DIV/0!</v>
      </c>
      <c r="CT20" s="19" t="e">
        <f t="shared" si="190"/>
        <v>#DIV/0!</v>
      </c>
      <c r="CU20" s="19" t="e">
        <f t="shared" si="190"/>
        <v>#DIV/0!</v>
      </c>
      <c r="CV20" s="19" t="e">
        <f t="shared" si="190"/>
        <v>#DIV/0!</v>
      </c>
      <c r="CW20" s="19" t="e">
        <f t="shared" si="190"/>
        <v>#DIV/0!</v>
      </c>
      <c r="CX20" s="19" t="e">
        <f t="shared" ref="CX20:CY20" si="191">CX19/CX16</f>
        <v>#DIV/0!</v>
      </c>
      <c r="CY20" s="19" t="e">
        <f t="shared" si="191"/>
        <v>#DIV/0!</v>
      </c>
      <c r="CZ20" s="19" t="e">
        <f t="shared" ref="CZ20:EV20" si="192">CZ19/CZ16</f>
        <v>#DIV/0!</v>
      </c>
      <c r="DA20" s="19" t="e">
        <f t="shared" si="192"/>
        <v>#DIV/0!</v>
      </c>
      <c r="DB20" s="19" t="e">
        <f t="shared" si="192"/>
        <v>#DIV/0!</v>
      </c>
      <c r="DC20" s="19" t="e">
        <f t="shared" si="192"/>
        <v>#DIV/0!</v>
      </c>
      <c r="DD20" s="19" t="e">
        <f t="shared" si="192"/>
        <v>#DIV/0!</v>
      </c>
      <c r="DE20" s="19" t="e">
        <f t="shared" si="192"/>
        <v>#DIV/0!</v>
      </c>
      <c r="DF20" s="19" t="e">
        <f t="shared" si="192"/>
        <v>#DIV/0!</v>
      </c>
      <c r="DG20" s="19" t="e">
        <f t="shared" si="192"/>
        <v>#DIV/0!</v>
      </c>
      <c r="DH20" s="19" t="e">
        <f t="shared" si="192"/>
        <v>#DIV/0!</v>
      </c>
      <c r="DI20" s="19" t="e">
        <f t="shared" si="192"/>
        <v>#DIV/0!</v>
      </c>
      <c r="DJ20" s="19" t="e">
        <f t="shared" si="192"/>
        <v>#DIV/0!</v>
      </c>
      <c r="DK20" s="19" t="e">
        <f t="shared" si="192"/>
        <v>#DIV/0!</v>
      </c>
      <c r="DL20" s="19" t="e">
        <f t="shared" si="192"/>
        <v>#DIV/0!</v>
      </c>
      <c r="DM20" s="19" t="e">
        <f t="shared" si="192"/>
        <v>#DIV/0!</v>
      </c>
      <c r="DN20" s="19" t="e">
        <f t="shared" si="192"/>
        <v>#DIV/0!</v>
      </c>
      <c r="DO20" s="19" t="e">
        <f t="shared" si="192"/>
        <v>#DIV/0!</v>
      </c>
      <c r="DP20" s="19" t="e">
        <f t="shared" si="192"/>
        <v>#DIV/0!</v>
      </c>
      <c r="DQ20" s="19" t="e">
        <f t="shared" si="192"/>
        <v>#DIV/0!</v>
      </c>
      <c r="DR20" s="19" t="e">
        <f t="shared" si="192"/>
        <v>#DIV/0!</v>
      </c>
      <c r="DS20" s="19" t="e">
        <f t="shared" si="192"/>
        <v>#DIV/0!</v>
      </c>
      <c r="DT20" s="19" t="e">
        <f t="shared" si="192"/>
        <v>#DIV/0!</v>
      </c>
      <c r="DU20" s="19" t="e">
        <f t="shared" si="192"/>
        <v>#DIV/0!</v>
      </c>
      <c r="DV20" s="19" t="e">
        <f t="shared" si="192"/>
        <v>#DIV/0!</v>
      </c>
      <c r="DW20" s="19" t="e">
        <f t="shared" si="192"/>
        <v>#DIV/0!</v>
      </c>
      <c r="DX20" s="19" t="e">
        <f t="shared" si="192"/>
        <v>#DIV/0!</v>
      </c>
      <c r="DY20" s="19" t="e">
        <f t="shared" si="192"/>
        <v>#DIV/0!</v>
      </c>
      <c r="DZ20" s="19" t="e">
        <f t="shared" si="192"/>
        <v>#DIV/0!</v>
      </c>
      <c r="EA20" s="19" t="e">
        <f t="shared" si="192"/>
        <v>#DIV/0!</v>
      </c>
      <c r="EB20" s="19" t="e">
        <f t="shared" si="192"/>
        <v>#DIV/0!</v>
      </c>
      <c r="EC20" s="19" t="e">
        <f t="shared" si="192"/>
        <v>#DIV/0!</v>
      </c>
      <c r="ED20" s="19" t="e">
        <f t="shared" si="192"/>
        <v>#DIV/0!</v>
      </c>
      <c r="EE20" s="19" t="e">
        <f t="shared" si="192"/>
        <v>#DIV/0!</v>
      </c>
      <c r="EF20" s="19" t="e">
        <f t="shared" si="192"/>
        <v>#DIV/0!</v>
      </c>
      <c r="EG20" s="19" t="e">
        <f t="shared" si="192"/>
        <v>#DIV/0!</v>
      </c>
      <c r="EH20" s="19" t="e">
        <f t="shared" si="192"/>
        <v>#DIV/0!</v>
      </c>
      <c r="EI20" s="19" t="e">
        <f t="shared" si="192"/>
        <v>#DIV/0!</v>
      </c>
      <c r="EJ20" s="19" t="e">
        <f t="shared" si="192"/>
        <v>#DIV/0!</v>
      </c>
      <c r="EK20" s="19" t="e">
        <f t="shared" si="192"/>
        <v>#DIV/0!</v>
      </c>
      <c r="EL20" s="19" t="e">
        <f t="shared" si="192"/>
        <v>#DIV/0!</v>
      </c>
      <c r="EM20" s="19" t="e">
        <f t="shared" si="192"/>
        <v>#DIV/0!</v>
      </c>
      <c r="EN20" s="19" t="e">
        <f t="shared" si="192"/>
        <v>#DIV/0!</v>
      </c>
      <c r="EO20" s="19" t="e">
        <f t="shared" si="192"/>
        <v>#DIV/0!</v>
      </c>
      <c r="EP20" s="19" t="e">
        <f t="shared" si="192"/>
        <v>#DIV/0!</v>
      </c>
      <c r="EQ20" s="19" t="e">
        <f t="shared" si="192"/>
        <v>#DIV/0!</v>
      </c>
      <c r="ER20" s="19" t="e">
        <f t="shared" si="192"/>
        <v>#DIV/0!</v>
      </c>
      <c r="ES20" s="19" t="e">
        <f t="shared" si="192"/>
        <v>#DIV/0!</v>
      </c>
      <c r="ET20" s="19" t="e">
        <f t="shared" si="192"/>
        <v>#DIV/0!</v>
      </c>
      <c r="EU20" s="19" t="e">
        <f t="shared" si="192"/>
        <v>#DIV/0!</v>
      </c>
      <c r="EV20" s="19" t="e">
        <f t="shared" si="192"/>
        <v>#DIV/0!</v>
      </c>
      <c r="EW20" s="19" t="e">
        <f t="shared" ref="EW20:EY20" si="193">EW19/EW16</f>
        <v>#DIV/0!</v>
      </c>
      <c r="EX20" s="19" t="e">
        <f t="shared" si="193"/>
        <v>#DIV/0!</v>
      </c>
      <c r="EY20" s="19" t="e">
        <f t="shared" si="193"/>
        <v>#DIV/0!</v>
      </c>
    </row>
    <row r="21" spans="1:155" x14ac:dyDescent="0.3">
      <c r="A21" s="39"/>
      <c r="B21" s="39"/>
      <c r="C21" s="39"/>
      <c r="D21" s="15" t="s">
        <v>17</v>
      </c>
      <c r="E21" s="20">
        <f>E19/E17</f>
        <v>0.8571428571428571</v>
      </c>
      <c r="F21" s="20">
        <f t="shared" ref="F21:AW21" si="194">F19/F17</f>
        <v>0.8571428571428571</v>
      </c>
      <c r="G21" s="20">
        <f t="shared" si="194"/>
        <v>0.8571428571428571</v>
      </c>
      <c r="H21" s="20">
        <f t="shared" si="194"/>
        <v>0.8571428571428571</v>
      </c>
      <c r="I21" s="20">
        <f t="shared" si="194"/>
        <v>0.8571428571428571</v>
      </c>
      <c r="J21" s="20">
        <f t="shared" si="194"/>
        <v>0.8571428571428571</v>
      </c>
      <c r="K21" s="20">
        <f t="shared" si="194"/>
        <v>0.8571428571428571</v>
      </c>
      <c r="L21" s="20">
        <f t="shared" si="194"/>
        <v>0.8571428571428571</v>
      </c>
      <c r="M21" s="20">
        <f t="shared" si="194"/>
        <v>0.7857142857142857</v>
      </c>
      <c r="N21" s="20">
        <f t="shared" si="194"/>
        <v>0.7857142857142857</v>
      </c>
      <c r="O21" s="20">
        <f t="shared" si="194"/>
        <v>0.7857142857142857</v>
      </c>
      <c r="P21" s="20">
        <f t="shared" si="194"/>
        <v>0.7857142857142857</v>
      </c>
      <c r="Q21" s="20">
        <f t="shared" si="194"/>
        <v>0.7857142857142857</v>
      </c>
      <c r="R21" s="20">
        <f t="shared" si="194"/>
        <v>0.7857142857142857</v>
      </c>
      <c r="S21" s="20">
        <f t="shared" si="194"/>
        <v>0.7857142857142857</v>
      </c>
      <c r="T21" s="20">
        <f t="shared" si="194"/>
        <v>1</v>
      </c>
      <c r="U21" s="20">
        <f t="shared" si="194"/>
        <v>1</v>
      </c>
      <c r="V21" s="20">
        <f t="shared" si="194"/>
        <v>1</v>
      </c>
      <c r="W21" s="20">
        <f t="shared" si="194"/>
        <v>1</v>
      </c>
      <c r="X21" s="20">
        <f t="shared" si="194"/>
        <v>1</v>
      </c>
      <c r="Y21" s="20">
        <f t="shared" si="194"/>
        <v>1</v>
      </c>
      <c r="Z21" s="20">
        <f t="shared" si="194"/>
        <v>1</v>
      </c>
      <c r="AA21" s="20">
        <f t="shared" si="194"/>
        <v>1</v>
      </c>
      <c r="AB21" s="20">
        <f t="shared" si="194"/>
        <v>1</v>
      </c>
      <c r="AC21" s="20">
        <f t="shared" si="194"/>
        <v>1</v>
      </c>
      <c r="AD21" s="20">
        <f t="shared" si="194"/>
        <v>1</v>
      </c>
      <c r="AE21" s="20">
        <f t="shared" si="194"/>
        <v>1</v>
      </c>
      <c r="AF21" s="20">
        <f t="shared" si="194"/>
        <v>1</v>
      </c>
      <c r="AG21" s="20">
        <f t="shared" si="194"/>
        <v>1</v>
      </c>
      <c r="AH21" s="20">
        <f t="shared" si="194"/>
        <v>1</v>
      </c>
      <c r="AI21" s="20">
        <f t="shared" si="194"/>
        <v>1</v>
      </c>
      <c r="AJ21" s="20">
        <f t="shared" si="194"/>
        <v>1</v>
      </c>
      <c r="AK21" s="20">
        <f t="shared" si="194"/>
        <v>1</v>
      </c>
      <c r="AL21" s="20">
        <f t="shared" si="194"/>
        <v>1</v>
      </c>
      <c r="AM21" s="20">
        <f t="shared" si="194"/>
        <v>1</v>
      </c>
      <c r="AN21" s="20">
        <f t="shared" si="194"/>
        <v>1</v>
      </c>
      <c r="AO21" s="20">
        <f t="shared" si="194"/>
        <v>1</v>
      </c>
      <c r="AP21" s="20">
        <f t="shared" si="194"/>
        <v>1</v>
      </c>
      <c r="AQ21" s="20">
        <f t="shared" si="194"/>
        <v>1</v>
      </c>
      <c r="AR21" s="20">
        <f t="shared" si="194"/>
        <v>1</v>
      </c>
      <c r="AS21" s="20">
        <f t="shared" si="194"/>
        <v>1</v>
      </c>
      <c r="AT21" s="20">
        <f t="shared" si="194"/>
        <v>1</v>
      </c>
      <c r="AU21" s="20">
        <f t="shared" si="194"/>
        <v>1</v>
      </c>
      <c r="AV21" s="20">
        <f t="shared" si="194"/>
        <v>1</v>
      </c>
      <c r="AW21" s="20">
        <f t="shared" si="194"/>
        <v>1</v>
      </c>
      <c r="AX21" s="20">
        <f t="shared" ref="AX21:AZ21" si="195">AX19/AX17</f>
        <v>1</v>
      </c>
      <c r="AY21" s="20">
        <f t="shared" si="195"/>
        <v>1</v>
      </c>
      <c r="AZ21" s="20">
        <f t="shared" si="195"/>
        <v>1</v>
      </c>
      <c r="BA21" s="20">
        <f t="shared" ref="BA21:BB21" si="196">BA19/BA17</f>
        <v>1</v>
      </c>
      <c r="BB21" s="20">
        <f t="shared" si="196"/>
        <v>1</v>
      </c>
      <c r="BC21" s="20">
        <f t="shared" ref="BC21:BG21" si="197">BC19/BC17</f>
        <v>1</v>
      </c>
      <c r="BD21" s="20">
        <f t="shared" si="197"/>
        <v>1</v>
      </c>
      <c r="BE21" s="20">
        <f t="shared" si="197"/>
        <v>1</v>
      </c>
      <c r="BF21" s="20">
        <f t="shared" si="197"/>
        <v>1</v>
      </c>
      <c r="BG21" s="20">
        <f t="shared" si="197"/>
        <v>1</v>
      </c>
      <c r="BH21" s="20">
        <f t="shared" ref="BH21:BM21" si="198">BH19/BH17</f>
        <v>1</v>
      </c>
      <c r="BI21" s="20">
        <f t="shared" si="198"/>
        <v>1</v>
      </c>
      <c r="BJ21" s="20">
        <f t="shared" si="198"/>
        <v>1</v>
      </c>
      <c r="BK21" s="20">
        <f t="shared" si="198"/>
        <v>1</v>
      </c>
      <c r="BL21" s="20">
        <f t="shared" si="198"/>
        <v>1</v>
      </c>
      <c r="BM21" s="20">
        <f t="shared" si="198"/>
        <v>1</v>
      </c>
      <c r="BN21" s="20">
        <f t="shared" ref="BN21:BO21" si="199">BN19/BN17</f>
        <v>1</v>
      </c>
      <c r="BO21" s="20">
        <f t="shared" si="199"/>
        <v>1</v>
      </c>
      <c r="BP21" s="20">
        <f t="shared" ref="BP21:CW21" si="200">BP19/BP17</f>
        <v>1</v>
      </c>
      <c r="BQ21" s="20">
        <f t="shared" si="200"/>
        <v>1</v>
      </c>
      <c r="BR21" s="20">
        <f t="shared" si="200"/>
        <v>1</v>
      </c>
      <c r="BS21" s="20">
        <f t="shared" si="200"/>
        <v>1</v>
      </c>
      <c r="BT21" s="20">
        <f t="shared" si="200"/>
        <v>1</v>
      </c>
      <c r="BU21" s="20">
        <f t="shared" si="200"/>
        <v>1</v>
      </c>
      <c r="BV21" s="20">
        <f t="shared" si="200"/>
        <v>1</v>
      </c>
      <c r="BW21" s="20">
        <f t="shared" si="200"/>
        <v>1</v>
      </c>
      <c r="BX21" s="20">
        <f t="shared" si="200"/>
        <v>1</v>
      </c>
      <c r="BY21" s="20">
        <f t="shared" si="200"/>
        <v>1</v>
      </c>
      <c r="BZ21" s="20">
        <f t="shared" si="200"/>
        <v>1</v>
      </c>
      <c r="CA21" s="20">
        <f t="shared" si="200"/>
        <v>1</v>
      </c>
      <c r="CB21" s="20">
        <f t="shared" si="200"/>
        <v>1</v>
      </c>
      <c r="CC21" s="20">
        <f t="shared" si="200"/>
        <v>1</v>
      </c>
      <c r="CD21" s="20">
        <f t="shared" si="200"/>
        <v>1</v>
      </c>
      <c r="CE21" s="20">
        <f t="shared" si="200"/>
        <v>1</v>
      </c>
      <c r="CF21" s="20">
        <f t="shared" si="200"/>
        <v>1</v>
      </c>
      <c r="CG21" s="20">
        <f t="shared" si="200"/>
        <v>1</v>
      </c>
      <c r="CH21" s="20">
        <f t="shared" si="200"/>
        <v>1</v>
      </c>
      <c r="CI21" s="20">
        <f t="shared" si="200"/>
        <v>1</v>
      </c>
      <c r="CJ21" s="20">
        <f t="shared" si="200"/>
        <v>1</v>
      </c>
      <c r="CK21" s="20">
        <f t="shared" si="200"/>
        <v>1</v>
      </c>
      <c r="CL21" s="20">
        <f t="shared" si="200"/>
        <v>1</v>
      </c>
      <c r="CM21" s="20">
        <f t="shared" si="200"/>
        <v>1</v>
      </c>
      <c r="CN21" s="20">
        <f t="shared" si="200"/>
        <v>1</v>
      </c>
      <c r="CO21" s="20">
        <f t="shared" si="200"/>
        <v>1</v>
      </c>
      <c r="CP21" s="20">
        <f t="shared" si="200"/>
        <v>1</v>
      </c>
      <c r="CQ21" s="20">
        <f t="shared" si="200"/>
        <v>1</v>
      </c>
      <c r="CR21" s="20">
        <f t="shared" si="200"/>
        <v>1</v>
      </c>
      <c r="CS21" s="20">
        <f t="shared" si="200"/>
        <v>1</v>
      </c>
      <c r="CT21" s="20">
        <f t="shared" si="200"/>
        <v>1</v>
      </c>
      <c r="CU21" s="20">
        <f t="shared" si="200"/>
        <v>1</v>
      </c>
      <c r="CV21" s="20">
        <f t="shared" si="200"/>
        <v>1</v>
      </c>
      <c r="CW21" s="20">
        <f t="shared" si="200"/>
        <v>1</v>
      </c>
      <c r="CX21" s="20">
        <f t="shared" ref="CX21:CY21" si="201">CX19/CX17</f>
        <v>1</v>
      </c>
      <c r="CY21" s="20">
        <f t="shared" si="201"/>
        <v>1</v>
      </c>
      <c r="CZ21" s="20">
        <f t="shared" ref="CZ21:EV21" si="202">CZ19/CZ17</f>
        <v>1</v>
      </c>
      <c r="DA21" s="20">
        <f t="shared" si="202"/>
        <v>1</v>
      </c>
      <c r="DB21" s="20">
        <f t="shared" si="202"/>
        <v>1</v>
      </c>
      <c r="DC21" s="20">
        <f t="shared" si="202"/>
        <v>1</v>
      </c>
      <c r="DD21" s="20">
        <f t="shared" si="202"/>
        <v>1</v>
      </c>
      <c r="DE21" s="20">
        <f t="shared" si="202"/>
        <v>1</v>
      </c>
      <c r="DF21" s="20">
        <f t="shared" si="202"/>
        <v>1</v>
      </c>
      <c r="DG21" s="20">
        <f t="shared" si="202"/>
        <v>1</v>
      </c>
      <c r="DH21" s="20">
        <f t="shared" si="202"/>
        <v>1</v>
      </c>
      <c r="DI21" s="20">
        <f t="shared" si="202"/>
        <v>1</v>
      </c>
      <c r="DJ21" s="20">
        <f t="shared" si="202"/>
        <v>1</v>
      </c>
      <c r="DK21" s="20">
        <f t="shared" si="202"/>
        <v>1</v>
      </c>
      <c r="DL21" s="20">
        <f t="shared" si="202"/>
        <v>1</v>
      </c>
      <c r="DM21" s="20">
        <f t="shared" si="202"/>
        <v>1</v>
      </c>
      <c r="DN21" s="20">
        <f t="shared" si="202"/>
        <v>1</v>
      </c>
      <c r="DO21" s="20">
        <f t="shared" si="202"/>
        <v>1</v>
      </c>
      <c r="DP21" s="20">
        <f t="shared" si="202"/>
        <v>1</v>
      </c>
      <c r="DQ21" s="20">
        <f t="shared" si="202"/>
        <v>1</v>
      </c>
      <c r="DR21" s="20">
        <f t="shared" si="202"/>
        <v>1</v>
      </c>
      <c r="DS21" s="20">
        <f t="shared" si="202"/>
        <v>1</v>
      </c>
      <c r="DT21" s="20">
        <f t="shared" si="202"/>
        <v>1</v>
      </c>
      <c r="DU21" s="20">
        <f t="shared" si="202"/>
        <v>1</v>
      </c>
      <c r="DV21" s="20">
        <f t="shared" si="202"/>
        <v>1</v>
      </c>
      <c r="DW21" s="20">
        <f t="shared" si="202"/>
        <v>1</v>
      </c>
      <c r="DX21" s="20">
        <f t="shared" si="202"/>
        <v>1</v>
      </c>
      <c r="DY21" s="20">
        <f t="shared" si="202"/>
        <v>1</v>
      </c>
      <c r="DZ21" s="20">
        <f t="shared" si="202"/>
        <v>1</v>
      </c>
      <c r="EA21" s="20">
        <f t="shared" si="202"/>
        <v>1</v>
      </c>
      <c r="EB21" s="20">
        <f t="shared" si="202"/>
        <v>1</v>
      </c>
      <c r="EC21" s="20">
        <f t="shared" si="202"/>
        <v>1</v>
      </c>
      <c r="ED21" s="20">
        <f t="shared" si="202"/>
        <v>1</v>
      </c>
      <c r="EE21" s="20">
        <f t="shared" si="202"/>
        <v>1</v>
      </c>
      <c r="EF21" s="20">
        <f t="shared" si="202"/>
        <v>1</v>
      </c>
      <c r="EG21" s="20">
        <f t="shared" si="202"/>
        <v>1</v>
      </c>
      <c r="EH21" s="20">
        <f t="shared" si="202"/>
        <v>1</v>
      </c>
      <c r="EI21" s="20">
        <f t="shared" si="202"/>
        <v>1</v>
      </c>
      <c r="EJ21" s="20">
        <f t="shared" si="202"/>
        <v>1</v>
      </c>
      <c r="EK21" s="20">
        <f t="shared" si="202"/>
        <v>1</v>
      </c>
      <c r="EL21" s="20">
        <f t="shared" si="202"/>
        <v>1</v>
      </c>
      <c r="EM21" s="20">
        <f t="shared" si="202"/>
        <v>1</v>
      </c>
      <c r="EN21" s="20">
        <f t="shared" si="202"/>
        <v>1</v>
      </c>
      <c r="EO21" s="20">
        <f t="shared" si="202"/>
        <v>1</v>
      </c>
      <c r="EP21" s="20">
        <f t="shared" si="202"/>
        <v>1</v>
      </c>
      <c r="EQ21" s="20">
        <f t="shared" si="202"/>
        <v>1</v>
      </c>
      <c r="ER21" s="20">
        <f t="shared" si="202"/>
        <v>1</v>
      </c>
      <c r="ES21" s="20">
        <f t="shared" si="202"/>
        <v>1</v>
      </c>
      <c r="ET21" s="20">
        <f t="shared" si="202"/>
        <v>1</v>
      </c>
      <c r="EU21" s="20">
        <f t="shared" si="202"/>
        <v>1</v>
      </c>
      <c r="EV21" s="20">
        <f t="shared" si="202"/>
        <v>1</v>
      </c>
      <c r="EW21" s="20">
        <f t="shared" ref="EW21:EY21" si="203">EW19/EW17</f>
        <v>1</v>
      </c>
      <c r="EX21" s="20">
        <f t="shared" si="203"/>
        <v>1</v>
      </c>
      <c r="EY21" s="20">
        <f t="shared" si="203"/>
        <v>1</v>
      </c>
    </row>
    <row r="22" spans="1:155" x14ac:dyDescent="0.3">
      <c r="AL22" s="26"/>
      <c r="AP22" s="26"/>
      <c r="AT22" s="26"/>
    </row>
    <row r="23" spans="1:155" x14ac:dyDescent="0.3">
      <c r="A23" s="36" t="s">
        <v>20</v>
      </c>
      <c r="B23" s="36" t="s">
        <v>20</v>
      </c>
      <c r="C23" s="37" t="s">
        <v>23</v>
      </c>
      <c r="D23" s="15" t="s">
        <v>13</v>
      </c>
      <c r="E23" s="16">
        <v>41</v>
      </c>
      <c r="F23" s="16">
        <v>41</v>
      </c>
      <c r="G23" s="16">
        <v>41</v>
      </c>
      <c r="H23" s="16">
        <v>41</v>
      </c>
      <c r="I23" s="16">
        <v>41</v>
      </c>
      <c r="J23" s="16">
        <v>41</v>
      </c>
      <c r="K23" s="16">
        <v>41</v>
      </c>
      <c r="L23" s="16">
        <v>41</v>
      </c>
      <c r="M23" s="16">
        <v>41</v>
      </c>
      <c r="N23" s="16">
        <v>41</v>
      </c>
      <c r="O23" s="16">
        <v>41</v>
      </c>
      <c r="P23" s="16">
        <v>41</v>
      </c>
      <c r="Q23" s="16">
        <v>41</v>
      </c>
      <c r="R23" s="16">
        <v>41</v>
      </c>
      <c r="S23" s="16">
        <v>41</v>
      </c>
      <c r="T23" s="16">
        <v>41</v>
      </c>
      <c r="U23" s="16">
        <v>41</v>
      </c>
      <c r="V23" s="16">
        <v>41</v>
      </c>
      <c r="W23" s="16">
        <v>41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x14ac:dyDescent="0.3">
      <c r="A24" s="36"/>
      <c r="B24" s="36"/>
      <c r="C24" s="38"/>
      <c r="D24" s="15" t="s">
        <v>14</v>
      </c>
      <c r="E24" s="17">
        <v>65</v>
      </c>
      <c r="F24" s="17">
        <v>65</v>
      </c>
      <c r="G24" s="17">
        <v>65</v>
      </c>
      <c r="H24" s="17">
        <v>65</v>
      </c>
      <c r="I24" s="17">
        <v>65</v>
      </c>
      <c r="J24" s="17">
        <v>65</v>
      </c>
      <c r="K24" s="17">
        <v>65</v>
      </c>
      <c r="L24" s="17">
        <v>65</v>
      </c>
      <c r="M24" s="17">
        <v>65</v>
      </c>
      <c r="N24" s="17">
        <v>65</v>
      </c>
      <c r="O24" s="17">
        <v>65</v>
      </c>
      <c r="P24" s="17">
        <v>65</v>
      </c>
      <c r="Q24" s="17">
        <v>65</v>
      </c>
      <c r="R24" s="17">
        <v>65</v>
      </c>
      <c r="S24" s="17">
        <v>65</v>
      </c>
      <c r="T24" s="17">
        <v>65</v>
      </c>
      <c r="U24" s="17">
        <v>61</v>
      </c>
      <c r="V24" s="17">
        <v>60</v>
      </c>
      <c r="W24" s="17">
        <v>60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>
        <v>0</v>
      </c>
      <c r="DB24" s="17">
        <v>0</v>
      </c>
      <c r="DC24" s="17">
        <v>0</v>
      </c>
      <c r="DD24" s="17">
        <v>0</v>
      </c>
      <c r="DE24" s="17">
        <v>10</v>
      </c>
      <c r="DF24" s="17">
        <v>10</v>
      </c>
      <c r="DG24" s="17">
        <v>10</v>
      </c>
      <c r="DH24" s="17">
        <v>10</v>
      </c>
      <c r="DI24" s="17">
        <v>10</v>
      </c>
      <c r="DJ24" s="17">
        <v>10</v>
      </c>
      <c r="DK24" s="17">
        <v>10</v>
      </c>
      <c r="DL24" s="17">
        <v>10</v>
      </c>
      <c r="DM24" s="21">
        <v>17.333333333333332</v>
      </c>
      <c r="DN24" s="21">
        <v>22.43137254901961</v>
      </c>
      <c r="DO24" s="21">
        <v>22.43137254901961</v>
      </c>
      <c r="DP24" s="21">
        <v>24.47058823529412</v>
      </c>
      <c r="DQ24" s="21">
        <v>30.588235294117649</v>
      </c>
      <c r="DR24" s="21">
        <v>28.549019607843135</v>
      </c>
      <c r="DS24" s="21">
        <v>39.152941176470591</v>
      </c>
      <c r="DT24" s="21">
        <v>38.745098039215684</v>
      </c>
      <c r="DU24" s="21">
        <v>38.745098039215684</v>
      </c>
      <c r="DV24" s="21">
        <v>38.745098039215684</v>
      </c>
      <c r="DW24" s="21">
        <v>46.901960784313729</v>
      </c>
      <c r="DX24" s="21">
        <v>26.346666666666668</v>
      </c>
      <c r="DY24" s="21">
        <v>34.666666666666664</v>
      </c>
      <c r="DZ24" s="21">
        <v>34.666666666666664</v>
      </c>
      <c r="EA24" s="21">
        <v>34.666666666666664</v>
      </c>
      <c r="EB24" s="21">
        <v>34.666666666666664</v>
      </c>
      <c r="EC24" s="21">
        <v>38.133333333333333</v>
      </c>
      <c r="ED24" s="21">
        <v>38.133333333333333</v>
      </c>
      <c r="EE24" s="21">
        <v>38.133333333333333</v>
      </c>
      <c r="EF24" s="21">
        <v>38.133333333333333</v>
      </c>
      <c r="EG24" s="21">
        <v>39.866666666666667</v>
      </c>
      <c r="EH24" s="21">
        <v>39.866666666666667</v>
      </c>
      <c r="EI24" s="21">
        <v>39.866666666666667</v>
      </c>
      <c r="EJ24" s="21">
        <v>39.866666666666667</v>
      </c>
      <c r="EK24" s="21">
        <v>39.866666666666667</v>
      </c>
      <c r="EL24" s="21">
        <v>38.133333333333333</v>
      </c>
      <c r="EM24" s="21">
        <v>38.133333333333333</v>
      </c>
      <c r="EN24" s="21">
        <v>38.133333333333333</v>
      </c>
      <c r="EO24" s="21">
        <v>38.133333333333333</v>
      </c>
      <c r="EP24" s="21">
        <v>38.133333333333333</v>
      </c>
      <c r="EQ24" s="21">
        <v>38.133333333333333</v>
      </c>
      <c r="ER24" s="21">
        <v>38.133333333333333</v>
      </c>
      <c r="ES24" s="21">
        <v>38.133333333333333</v>
      </c>
      <c r="ET24" s="21">
        <v>38.133333333333333</v>
      </c>
      <c r="EU24" s="17"/>
      <c r="EV24" s="17"/>
      <c r="EW24" s="17"/>
      <c r="EX24" s="17"/>
      <c r="EY24" s="17"/>
    </row>
    <row r="25" spans="1:155" x14ac:dyDescent="0.3">
      <c r="A25" s="36"/>
      <c r="B25" s="36"/>
      <c r="C25" s="38"/>
      <c r="D25" s="15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>
        <v>0</v>
      </c>
      <c r="DB25" s="17">
        <v>0</v>
      </c>
      <c r="DC25" s="17">
        <v>0</v>
      </c>
      <c r="DD25" s="17">
        <v>0</v>
      </c>
      <c r="DE25" s="17">
        <v>9</v>
      </c>
      <c r="DF25" s="17">
        <v>10</v>
      </c>
      <c r="DG25" s="17">
        <v>9</v>
      </c>
      <c r="DH25" s="17">
        <v>10</v>
      </c>
      <c r="DI25" s="17">
        <v>10</v>
      </c>
      <c r="DJ25" s="17">
        <v>8</v>
      </c>
      <c r="DK25" s="17">
        <v>8</v>
      </c>
      <c r="DL25" s="17">
        <v>8</v>
      </c>
      <c r="DM25" s="21">
        <v>19.914444482741452</v>
      </c>
      <c r="DN25" s="21">
        <v>25.77163403648894</v>
      </c>
      <c r="DO25" s="21">
        <v>25.367681706553135</v>
      </c>
      <c r="DP25" s="21">
        <v>28.302785375079942</v>
      </c>
      <c r="DQ25" s="21">
        <v>38.475767665556788</v>
      </c>
      <c r="DR25" s="21">
        <v>32.10776388775183</v>
      </c>
      <c r="DS25" s="34">
        <v>44.033504760345373</v>
      </c>
      <c r="DT25" s="34">
        <v>42.864363357910925</v>
      </c>
      <c r="DU25" s="34">
        <v>42.864363357910925</v>
      </c>
      <c r="DV25" s="34">
        <v>43.083618413450111</v>
      </c>
      <c r="DW25" s="34">
        <v>53.018282386077608</v>
      </c>
      <c r="DX25" s="34">
        <v>31.19934214545016</v>
      </c>
      <c r="DY25" s="34">
        <v>39.991678654556871</v>
      </c>
      <c r="DZ25" s="34">
        <v>39.847888349282066</v>
      </c>
      <c r="EA25" s="34">
        <v>39.847888349282066</v>
      </c>
      <c r="EB25" s="34">
        <v>39.847888349282066</v>
      </c>
      <c r="EC25" s="34">
        <v>43.720859130168925</v>
      </c>
      <c r="ED25" s="34">
        <v>43.720859130168925</v>
      </c>
      <c r="EE25" s="34">
        <v>42.99620400646446</v>
      </c>
      <c r="EF25" s="34">
        <v>42.99620400646446</v>
      </c>
      <c r="EG25" s="34">
        <v>44.950576915849211</v>
      </c>
      <c r="EH25" s="34">
        <v>44.950576915849211</v>
      </c>
      <c r="EI25" s="21">
        <v>44.950576915849211</v>
      </c>
      <c r="EJ25" s="21">
        <v>44.950576915849211</v>
      </c>
      <c r="EK25" s="21">
        <v>44.950576915849211</v>
      </c>
      <c r="EL25" s="21">
        <v>42.99620400646446</v>
      </c>
      <c r="EM25" s="21">
        <v>42.99620400646446</v>
      </c>
      <c r="EN25" s="21">
        <v>42.99620400646446</v>
      </c>
      <c r="EO25" s="21">
        <v>42.99620400646446</v>
      </c>
      <c r="EP25" s="21">
        <v>42.99620400646446</v>
      </c>
      <c r="EQ25" s="21">
        <v>42.99620400646446</v>
      </c>
      <c r="ER25" s="21">
        <v>42.99620400646446</v>
      </c>
      <c r="ES25" s="21">
        <v>42.99620400646446</v>
      </c>
      <c r="ET25" s="21">
        <v>42.99620400646446</v>
      </c>
      <c r="EU25" s="17"/>
      <c r="EV25" s="17"/>
      <c r="EW25" s="17"/>
      <c r="EX25" s="17"/>
      <c r="EY25" s="17"/>
    </row>
    <row r="26" spans="1:155" x14ac:dyDescent="0.3">
      <c r="A26" s="36"/>
      <c r="B26" s="36"/>
      <c r="C26" s="38"/>
      <c r="D26" s="15" t="s">
        <v>15</v>
      </c>
      <c r="E26" s="18">
        <v>80</v>
      </c>
      <c r="F26" s="18">
        <v>77</v>
      </c>
      <c r="G26" s="18">
        <v>72</v>
      </c>
      <c r="H26" s="18">
        <v>69</v>
      </c>
      <c r="I26" s="18">
        <v>68</v>
      </c>
      <c r="J26" s="18">
        <v>68</v>
      </c>
      <c r="K26" s="18">
        <v>66</v>
      </c>
      <c r="L26" s="18">
        <v>89</v>
      </c>
      <c r="M26" s="18">
        <v>88</v>
      </c>
      <c r="N26" s="18">
        <v>88</v>
      </c>
      <c r="O26" s="18">
        <v>87</v>
      </c>
      <c r="P26" s="18">
        <v>88</v>
      </c>
      <c r="Q26" s="18">
        <v>86</v>
      </c>
      <c r="R26" s="18">
        <v>84</v>
      </c>
      <c r="S26" s="18">
        <v>84</v>
      </c>
      <c r="T26" s="18">
        <v>68</v>
      </c>
      <c r="U26" s="18">
        <v>61</v>
      </c>
      <c r="V26" s="18">
        <v>59</v>
      </c>
      <c r="W26" s="18">
        <v>59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>
        <f>DA24</f>
        <v>0</v>
      </c>
      <c r="DB26" s="18">
        <f t="shared" ref="DB26:DD26" si="204">DB24</f>
        <v>0</v>
      </c>
      <c r="DC26" s="18">
        <f t="shared" si="204"/>
        <v>0</v>
      </c>
      <c r="DD26" s="18">
        <f t="shared" si="204"/>
        <v>0</v>
      </c>
      <c r="DE26" s="18">
        <f>DE25</f>
        <v>9</v>
      </c>
      <c r="DF26" s="18">
        <f t="shared" ref="DF26:ET26" si="205">DF25</f>
        <v>10</v>
      </c>
      <c r="DG26" s="18">
        <f t="shared" si="205"/>
        <v>9</v>
      </c>
      <c r="DH26" s="18">
        <f t="shared" si="205"/>
        <v>10</v>
      </c>
      <c r="DI26" s="18">
        <f t="shared" si="205"/>
        <v>10</v>
      </c>
      <c r="DJ26" s="18">
        <f t="shared" si="205"/>
        <v>8</v>
      </c>
      <c r="DK26" s="18">
        <f t="shared" si="205"/>
        <v>8</v>
      </c>
      <c r="DL26" s="18">
        <f t="shared" si="205"/>
        <v>8</v>
      </c>
      <c r="DM26" s="22">
        <f t="shared" si="205"/>
        <v>19.914444482741452</v>
      </c>
      <c r="DN26" s="22">
        <f t="shared" si="205"/>
        <v>25.77163403648894</v>
      </c>
      <c r="DO26" s="22">
        <f t="shared" si="205"/>
        <v>25.367681706553135</v>
      </c>
      <c r="DP26" s="22">
        <f t="shared" si="205"/>
        <v>28.302785375079942</v>
      </c>
      <c r="DQ26" s="22">
        <f t="shared" si="205"/>
        <v>38.475767665556788</v>
      </c>
      <c r="DR26" s="22">
        <f t="shared" si="205"/>
        <v>32.10776388775183</v>
      </c>
      <c r="DS26" s="35">
        <f t="shared" si="205"/>
        <v>44.033504760345373</v>
      </c>
      <c r="DT26" s="35">
        <f t="shared" si="205"/>
        <v>42.864363357910925</v>
      </c>
      <c r="DU26" s="35">
        <f t="shared" si="205"/>
        <v>42.864363357910925</v>
      </c>
      <c r="DV26" s="35">
        <f t="shared" si="205"/>
        <v>43.083618413450111</v>
      </c>
      <c r="DW26" s="35">
        <f t="shared" si="205"/>
        <v>53.018282386077608</v>
      </c>
      <c r="DX26" s="35">
        <f t="shared" si="205"/>
        <v>31.19934214545016</v>
      </c>
      <c r="DY26" s="35">
        <f t="shared" si="205"/>
        <v>39.991678654556871</v>
      </c>
      <c r="DZ26" s="35">
        <f t="shared" si="205"/>
        <v>39.847888349282066</v>
      </c>
      <c r="EA26" s="35">
        <f t="shared" si="205"/>
        <v>39.847888349282066</v>
      </c>
      <c r="EB26" s="35">
        <f t="shared" si="205"/>
        <v>39.847888349282066</v>
      </c>
      <c r="EC26" s="35">
        <f t="shared" si="205"/>
        <v>43.720859130168925</v>
      </c>
      <c r="ED26" s="35">
        <f t="shared" si="205"/>
        <v>43.720859130168925</v>
      </c>
      <c r="EE26" s="35">
        <f t="shared" si="205"/>
        <v>42.99620400646446</v>
      </c>
      <c r="EF26" s="35">
        <f t="shared" si="205"/>
        <v>42.99620400646446</v>
      </c>
      <c r="EG26" s="35">
        <f t="shared" si="205"/>
        <v>44.950576915849211</v>
      </c>
      <c r="EH26" s="35">
        <f t="shared" si="205"/>
        <v>44.950576915849211</v>
      </c>
      <c r="EI26" s="35">
        <f t="shared" si="205"/>
        <v>44.950576915849211</v>
      </c>
      <c r="EJ26" s="35">
        <f t="shared" si="205"/>
        <v>44.950576915849211</v>
      </c>
      <c r="EK26" s="35">
        <f t="shared" si="205"/>
        <v>44.950576915849211</v>
      </c>
      <c r="EL26" s="35">
        <f t="shared" si="205"/>
        <v>42.99620400646446</v>
      </c>
      <c r="EM26" s="35">
        <f t="shared" si="205"/>
        <v>42.99620400646446</v>
      </c>
      <c r="EN26" s="35">
        <f t="shared" si="205"/>
        <v>42.99620400646446</v>
      </c>
      <c r="EO26" s="35">
        <f t="shared" si="205"/>
        <v>42.99620400646446</v>
      </c>
      <c r="EP26" s="35">
        <f t="shared" si="205"/>
        <v>42.99620400646446</v>
      </c>
      <c r="EQ26" s="35">
        <f t="shared" si="205"/>
        <v>42.99620400646446</v>
      </c>
      <c r="ER26" s="35">
        <f t="shared" si="205"/>
        <v>42.99620400646446</v>
      </c>
      <c r="ES26" s="35">
        <f t="shared" si="205"/>
        <v>42.99620400646446</v>
      </c>
      <c r="ET26" s="35">
        <f t="shared" si="205"/>
        <v>42.99620400646446</v>
      </c>
      <c r="EU26" s="18"/>
      <c r="EV26" s="18"/>
      <c r="EW26" s="18"/>
      <c r="EX26" s="18"/>
      <c r="EY26" s="18"/>
    </row>
    <row r="27" spans="1:155" x14ac:dyDescent="0.3">
      <c r="A27" s="36"/>
      <c r="B27" s="36"/>
      <c r="C27" s="38"/>
      <c r="D27" s="15" t="s">
        <v>16</v>
      </c>
      <c r="E27" s="19">
        <f t="shared" ref="E27:AW27" si="206">E26/E23</f>
        <v>1.9512195121951219</v>
      </c>
      <c r="F27" s="19">
        <f t="shared" si="206"/>
        <v>1.8780487804878048</v>
      </c>
      <c r="G27" s="19">
        <f t="shared" si="206"/>
        <v>1.7560975609756098</v>
      </c>
      <c r="H27" s="19">
        <f t="shared" si="206"/>
        <v>1.6829268292682926</v>
      </c>
      <c r="I27" s="19">
        <f t="shared" si="206"/>
        <v>1.6585365853658536</v>
      </c>
      <c r="J27" s="19">
        <f t="shared" si="206"/>
        <v>1.6585365853658536</v>
      </c>
      <c r="K27" s="19">
        <f t="shared" si="206"/>
        <v>1.6097560975609757</v>
      </c>
      <c r="L27" s="19">
        <f t="shared" si="206"/>
        <v>2.1707317073170733</v>
      </c>
      <c r="M27" s="19">
        <f t="shared" si="206"/>
        <v>2.1463414634146343</v>
      </c>
      <c r="N27" s="19">
        <f t="shared" si="206"/>
        <v>2.1463414634146343</v>
      </c>
      <c r="O27" s="19">
        <f t="shared" si="206"/>
        <v>2.1219512195121952</v>
      </c>
      <c r="P27" s="19">
        <f t="shared" si="206"/>
        <v>2.1463414634146343</v>
      </c>
      <c r="Q27" s="19">
        <f t="shared" si="206"/>
        <v>2.0975609756097562</v>
      </c>
      <c r="R27" s="19">
        <f t="shared" si="206"/>
        <v>2.0487804878048781</v>
      </c>
      <c r="S27" s="19">
        <f t="shared" si="206"/>
        <v>2.0487804878048781</v>
      </c>
      <c r="T27" s="19">
        <f t="shared" si="206"/>
        <v>1.6585365853658536</v>
      </c>
      <c r="U27" s="19">
        <f t="shared" si="206"/>
        <v>1.4878048780487805</v>
      </c>
      <c r="V27" s="19">
        <f t="shared" si="206"/>
        <v>1.4390243902439024</v>
      </c>
      <c r="W27" s="19">
        <f t="shared" si="206"/>
        <v>1.4390243902439024</v>
      </c>
      <c r="X27" s="19" t="e">
        <f t="shared" si="206"/>
        <v>#DIV/0!</v>
      </c>
      <c r="Y27" s="19" t="e">
        <f t="shared" si="206"/>
        <v>#DIV/0!</v>
      </c>
      <c r="Z27" s="19" t="e">
        <f t="shared" si="206"/>
        <v>#DIV/0!</v>
      </c>
      <c r="AA27" s="19" t="e">
        <f t="shared" si="206"/>
        <v>#DIV/0!</v>
      </c>
      <c r="AB27" s="19" t="e">
        <f t="shared" si="206"/>
        <v>#DIV/0!</v>
      </c>
      <c r="AC27" s="19" t="e">
        <f t="shared" si="206"/>
        <v>#DIV/0!</v>
      </c>
      <c r="AD27" s="19" t="e">
        <f t="shared" si="206"/>
        <v>#DIV/0!</v>
      </c>
      <c r="AE27" s="19" t="e">
        <f t="shared" si="206"/>
        <v>#DIV/0!</v>
      </c>
      <c r="AF27" s="19" t="e">
        <f t="shared" si="206"/>
        <v>#DIV/0!</v>
      </c>
      <c r="AG27" s="19" t="e">
        <f t="shared" si="206"/>
        <v>#DIV/0!</v>
      </c>
      <c r="AH27" s="19" t="e">
        <f t="shared" si="206"/>
        <v>#DIV/0!</v>
      </c>
      <c r="AI27" s="19" t="e">
        <f t="shared" si="206"/>
        <v>#DIV/0!</v>
      </c>
      <c r="AJ27" s="19" t="e">
        <f t="shared" si="206"/>
        <v>#DIV/0!</v>
      </c>
      <c r="AK27" s="19" t="e">
        <f t="shared" si="206"/>
        <v>#DIV/0!</v>
      </c>
      <c r="AL27" s="19" t="e">
        <f t="shared" si="206"/>
        <v>#DIV/0!</v>
      </c>
      <c r="AM27" s="19" t="e">
        <f t="shared" si="206"/>
        <v>#DIV/0!</v>
      </c>
      <c r="AN27" s="19" t="e">
        <f t="shared" si="206"/>
        <v>#DIV/0!</v>
      </c>
      <c r="AO27" s="19" t="e">
        <f t="shared" si="206"/>
        <v>#DIV/0!</v>
      </c>
      <c r="AP27" s="19" t="e">
        <f t="shared" si="206"/>
        <v>#DIV/0!</v>
      </c>
      <c r="AQ27" s="19" t="e">
        <f t="shared" si="206"/>
        <v>#DIV/0!</v>
      </c>
      <c r="AR27" s="19" t="e">
        <f t="shared" si="206"/>
        <v>#DIV/0!</v>
      </c>
      <c r="AS27" s="19" t="e">
        <f t="shared" si="206"/>
        <v>#DIV/0!</v>
      </c>
      <c r="AT27" s="19" t="e">
        <f t="shared" si="206"/>
        <v>#DIV/0!</v>
      </c>
      <c r="AU27" s="19" t="e">
        <f t="shared" si="206"/>
        <v>#DIV/0!</v>
      </c>
      <c r="AV27" s="19" t="e">
        <f t="shared" si="206"/>
        <v>#DIV/0!</v>
      </c>
      <c r="AW27" s="19" t="e">
        <f t="shared" si="206"/>
        <v>#DIV/0!</v>
      </c>
      <c r="AX27" s="19" t="e">
        <f t="shared" ref="AX27:AZ27" si="207">AX26/AX23</f>
        <v>#DIV/0!</v>
      </c>
      <c r="AY27" s="19" t="e">
        <f t="shared" si="207"/>
        <v>#DIV/0!</v>
      </c>
      <c r="AZ27" s="19" t="e">
        <f t="shared" si="207"/>
        <v>#DIV/0!</v>
      </c>
      <c r="BA27" s="19" t="e">
        <f t="shared" ref="BA27:BB27" si="208">BA26/BA23</f>
        <v>#DIV/0!</v>
      </c>
      <c r="BB27" s="19" t="e">
        <f t="shared" si="208"/>
        <v>#DIV/0!</v>
      </c>
      <c r="BC27" s="19" t="e">
        <f t="shared" ref="BC27:BG27" si="209">BC26/BC23</f>
        <v>#DIV/0!</v>
      </c>
      <c r="BD27" s="19" t="e">
        <f t="shared" si="209"/>
        <v>#DIV/0!</v>
      </c>
      <c r="BE27" s="19" t="e">
        <f t="shared" si="209"/>
        <v>#DIV/0!</v>
      </c>
      <c r="BF27" s="19" t="e">
        <f t="shared" si="209"/>
        <v>#DIV/0!</v>
      </c>
      <c r="BG27" s="19" t="e">
        <f t="shared" si="209"/>
        <v>#DIV/0!</v>
      </c>
      <c r="BH27" s="19" t="e">
        <f t="shared" ref="BH27:BM27" si="210">BH26/BH23</f>
        <v>#DIV/0!</v>
      </c>
      <c r="BI27" s="19" t="e">
        <f t="shared" si="210"/>
        <v>#DIV/0!</v>
      </c>
      <c r="BJ27" s="19" t="e">
        <f t="shared" si="210"/>
        <v>#DIV/0!</v>
      </c>
      <c r="BK27" s="19" t="e">
        <f t="shared" si="210"/>
        <v>#DIV/0!</v>
      </c>
      <c r="BL27" s="19" t="e">
        <f t="shared" si="210"/>
        <v>#DIV/0!</v>
      </c>
      <c r="BM27" s="19" t="e">
        <f t="shared" si="210"/>
        <v>#DIV/0!</v>
      </c>
      <c r="BN27" s="19" t="e">
        <f t="shared" ref="BN27:BO27" si="211">BN26/BN23</f>
        <v>#DIV/0!</v>
      </c>
      <c r="BO27" s="19" t="e">
        <f t="shared" si="211"/>
        <v>#DIV/0!</v>
      </c>
      <c r="BP27" s="19" t="e">
        <f t="shared" ref="BP27:CW27" si="212">BP26/BP23</f>
        <v>#DIV/0!</v>
      </c>
      <c r="BQ27" s="19" t="e">
        <f t="shared" si="212"/>
        <v>#DIV/0!</v>
      </c>
      <c r="BR27" s="19" t="e">
        <f t="shared" si="212"/>
        <v>#DIV/0!</v>
      </c>
      <c r="BS27" s="19" t="e">
        <f t="shared" si="212"/>
        <v>#DIV/0!</v>
      </c>
      <c r="BT27" s="19" t="e">
        <f t="shared" si="212"/>
        <v>#DIV/0!</v>
      </c>
      <c r="BU27" s="19" t="e">
        <f t="shared" si="212"/>
        <v>#DIV/0!</v>
      </c>
      <c r="BV27" s="19" t="e">
        <f t="shared" si="212"/>
        <v>#DIV/0!</v>
      </c>
      <c r="BW27" s="19" t="e">
        <f t="shared" si="212"/>
        <v>#DIV/0!</v>
      </c>
      <c r="BX27" s="19" t="e">
        <f t="shared" si="212"/>
        <v>#DIV/0!</v>
      </c>
      <c r="BY27" s="19" t="e">
        <f t="shared" si="212"/>
        <v>#DIV/0!</v>
      </c>
      <c r="BZ27" s="19" t="e">
        <f t="shared" si="212"/>
        <v>#DIV/0!</v>
      </c>
      <c r="CA27" s="19" t="e">
        <f t="shared" si="212"/>
        <v>#DIV/0!</v>
      </c>
      <c r="CB27" s="19" t="e">
        <f t="shared" si="212"/>
        <v>#DIV/0!</v>
      </c>
      <c r="CC27" s="19" t="e">
        <f t="shared" si="212"/>
        <v>#DIV/0!</v>
      </c>
      <c r="CD27" s="19" t="e">
        <f t="shared" si="212"/>
        <v>#DIV/0!</v>
      </c>
      <c r="CE27" s="19" t="e">
        <f t="shared" si="212"/>
        <v>#DIV/0!</v>
      </c>
      <c r="CF27" s="19" t="e">
        <f t="shared" si="212"/>
        <v>#DIV/0!</v>
      </c>
      <c r="CG27" s="19" t="e">
        <f t="shared" si="212"/>
        <v>#DIV/0!</v>
      </c>
      <c r="CH27" s="19" t="e">
        <f t="shared" si="212"/>
        <v>#DIV/0!</v>
      </c>
      <c r="CI27" s="19" t="e">
        <f t="shared" si="212"/>
        <v>#DIV/0!</v>
      </c>
      <c r="CJ27" s="19" t="e">
        <f t="shared" si="212"/>
        <v>#DIV/0!</v>
      </c>
      <c r="CK27" s="19" t="e">
        <f t="shared" si="212"/>
        <v>#DIV/0!</v>
      </c>
      <c r="CL27" s="19" t="e">
        <f t="shared" si="212"/>
        <v>#DIV/0!</v>
      </c>
      <c r="CM27" s="19" t="e">
        <f t="shared" si="212"/>
        <v>#DIV/0!</v>
      </c>
      <c r="CN27" s="19" t="e">
        <f t="shared" si="212"/>
        <v>#DIV/0!</v>
      </c>
      <c r="CO27" s="19" t="e">
        <f t="shared" si="212"/>
        <v>#DIV/0!</v>
      </c>
      <c r="CP27" s="19" t="e">
        <f t="shared" si="212"/>
        <v>#DIV/0!</v>
      </c>
      <c r="CQ27" s="19" t="e">
        <f t="shared" si="212"/>
        <v>#DIV/0!</v>
      </c>
      <c r="CR27" s="19" t="e">
        <f t="shared" si="212"/>
        <v>#DIV/0!</v>
      </c>
      <c r="CS27" s="19" t="e">
        <f t="shared" si="212"/>
        <v>#DIV/0!</v>
      </c>
      <c r="CT27" s="19" t="e">
        <f t="shared" si="212"/>
        <v>#DIV/0!</v>
      </c>
      <c r="CU27" s="19" t="e">
        <f t="shared" si="212"/>
        <v>#DIV/0!</v>
      </c>
      <c r="CV27" s="19" t="e">
        <f t="shared" si="212"/>
        <v>#DIV/0!</v>
      </c>
      <c r="CW27" s="19" t="e">
        <f t="shared" si="212"/>
        <v>#DIV/0!</v>
      </c>
      <c r="CX27" s="19" t="e">
        <f t="shared" ref="CX27:CY27" si="213">CX26/CX23</f>
        <v>#DIV/0!</v>
      </c>
      <c r="CY27" s="19" t="e">
        <f t="shared" si="213"/>
        <v>#DIV/0!</v>
      </c>
      <c r="CZ27" s="19" t="e">
        <f t="shared" ref="CZ27:EV27" si="214">CZ26/CZ23</f>
        <v>#DIV/0!</v>
      </c>
      <c r="DA27" s="19" t="e">
        <f t="shared" si="214"/>
        <v>#DIV/0!</v>
      </c>
      <c r="DB27" s="19" t="e">
        <f t="shared" si="214"/>
        <v>#DIV/0!</v>
      </c>
      <c r="DC27" s="19" t="e">
        <f t="shared" si="214"/>
        <v>#DIV/0!</v>
      </c>
      <c r="DD27" s="19" t="e">
        <f t="shared" si="214"/>
        <v>#DIV/0!</v>
      </c>
      <c r="DE27" s="19" t="e">
        <f t="shared" si="214"/>
        <v>#DIV/0!</v>
      </c>
      <c r="DF27" s="19" t="e">
        <f t="shared" si="214"/>
        <v>#DIV/0!</v>
      </c>
      <c r="DG27" s="19" t="e">
        <f t="shared" si="214"/>
        <v>#DIV/0!</v>
      </c>
      <c r="DH27" s="19" t="e">
        <f t="shared" si="214"/>
        <v>#DIV/0!</v>
      </c>
      <c r="DI27" s="19" t="e">
        <f t="shared" si="214"/>
        <v>#DIV/0!</v>
      </c>
      <c r="DJ27" s="19" t="e">
        <f t="shared" si="214"/>
        <v>#DIV/0!</v>
      </c>
      <c r="DK27" s="19" t="e">
        <f t="shared" si="214"/>
        <v>#DIV/0!</v>
      </c>
      <c r="DL27" s="19" t="e">
        <f t="shared" si="214"/>
        <v>#DIV/0!</v>
      </c>
      <c r="DM27" s="19" t="e">
        <f t="shared" si="214"/>
        <v>#DIV/0!</v>
      </c>
      <c r="DN27" s="19" t="e">
        <f t="shared" si="214"/>
        <v>#DIV/0!</v>
      </c>
      <c r="DO27" s="19" t="e">
        <f t="shared" si="214"/>
        <v>#DIV/0!</v>
      </c>
      <c r="DP27" s="19" t="e">
        <f t="shared" si="214"/>
        <v>#DIV/0!</v>
      </c>
      <c r="DQ27" s="19" t="e">
        <f t="shared" si="214"/>
        <v>#DIV/0!</v>
      </c>
      <c r="DR27" s="19" t="e">
        <f t="shared" si="214"/>
        <v>#DIV/0!</v>
      </c>
      <c r="DS27" s="19" t="e">
        <f t="shared" si="214"/>
        <v>#DIV/0!</v>
      </c>
      <c r="DT27" s="19" t="e">
        <f t="shared" si="214"/>
        <v>#DIV/0!</v>
      </c>
      <c r="DU27" s="19" t="e">
        <f t="shared" si="214"/>
        <v>#DIV/0!</v>
      </c>
      <c r="DV27" s="19" t="e">
        <f t="shared" si="214"/>
        <v>#DIV/0!</v>
      </c>
      <c r="DW27" s="19" t="e">
        <f t="shared" si="214"/>
        <v>#DIV/0!</v>
      </c>
      <c r="DX27" s="19" t="e">
        <f t="shared" si="214"/>
        <v>#DIV/0!</v>
      </c>
      <c r="DY27" s="19" t="e">
        <f t="shared" si="214"/>
        <v>#DIV/0!</v>
      </c>
      <c r="DZ27" s="19" t="e">
        <f t="shared" si="214"/>
        <v>#DIV/0!</v>
      </c>
      <c r="EA27" s="19" t="e">
        <f t="shared" si="214"/>
        <v>#DIV/0!</v>
      </c>
      <c r="EB27" s="19" t="e">
        <f t="shared" si="214"/>
        <v>#DIV/0!</v>
      </c>
      <c r="EC27" s="19" t="e">
        <f t="shared" si="214"/>
        <v>#DIV/0!</v>
      </c>
      <c r="ED27" s="19" t="e">
        <f t="shared" si="214"/>
        <v>#DIV/0!</v>
      </c>
      <c r="EE27" s="19" t="e">
        <f t="shared" si="214"/>
        <v>#DIV/0!</v>
      </c>
      <c r="EF27" s="19" t="e">
        <f t="shared" si="214"/>
        <v>#DIV/0!</v>
      </c>
      <c r="EG27" s="19" t="e">
        <f t="shared" si="214"/>
        <v>#DIV/0!</v>
      </c>
      <c r="EH27" s="19" t="e">
        <f t="shared" si="214"/>
        <v>#DIV/0!</v>
      </c>
      <c r="EI27" s="19" t="e">
        <f t="shared" si="214"/>
        <v>#DIV/0!</v>
      </c>
      <c r="EJ27" s="19" t="e">
        <f t="shared" si="214"/>
        <v>#DIV/0!</v>
      </c>
      <c r="EK27" s="19" t="e">
        <f t="shared" si="214"/>
        <v>#DIV/0!</v>
      </c>
      <c r="EL27" s="19" t="e">
        <f t="shared" si="214"/>
        <v>#DIV/0!</v>
      </c>
      <c r="EM27" s="19" t="e">
        <f t="shared" si="214"/>
        <v>#DIV/0!</v>
      </c>
      <c r="EN27" s="19" t="e">
        <f t="shared" si="214"/>
        <v>#DIV/0!</v>
      </c>
      <c r="EO27" s="19" t="e">
        <f t="shared" si="214"/>
        <v>#DIV/0!</v>
      </c>
      <c r="EP27" s="19" t="e">
        <f t="shared" si="214"/>
        <v>#DIV/0!</v>
      </c>
      <c r="EQ27" s="19" t="e">
        <f t="shared" si="214"/>
        <v>#DIV/0!</v>
      </c>
      <c r="ER27" s="19" t="e">
        <f t="shared" si="214"/>
        <v>#DIV/0!</v>
      </c>
      <c r="ES27" s="19" t="e">
        <f t="shared" si="214"/>
        <v>#DIV/0!</v>
      </c>
      <c r="ET27" s="19" t="e">
        <f t="shared" si="214"/>
        <v>#DIV/0!</v>
      </c>
      <c r="EU27" s="19" t="e">
        <f t="shared" si="214"/>
        <v>#DIV/0!</v>
      </c>
      <c r="EV27" s="19" t="e">
        <f t="shared" si="214"/>
        <v>#DIV/0!</v>
      </c>
      <c r="EW27" s="19" t="e">
        <f t="shared" ref="EW27:EY27" si="215">EW26/EW23</f>
        <v>#DIV/0!</v>
      </c>
      <c r="EX27" s="19" t="e">
        <f t="shared" si="215"/>
        <v>#DIV/0!</v>
      </c>
      <c r="EY27" s="19" t="e">
        <f t="shared" si="215"/>
        <v>#DIV/0!</v>
      </c>
    </row>
    <row r="28" spans="1:155" x14ac:dyDescent="0.3">
      <c r="A28" s="36"/>
      <c r="B28" s="36"/>
      <c r="C28" s="39"/>
      <c r="D28" s="15" t="s">
        <v>17</v>
      </c>
      <c r="E28" s="20">
        <f>E26/E24</f>
        <v>1.2307692307692308</v>
      </c>
      <c r="F28" s="20">
        <f t="shared" ref="F28:AW28" si="216">F26/F24</f>
        <v>1.1846153846153846</v>
      </c>
      <c r="G28" s="20">
        <f t="shared" si="216"/>
        <v>1.1076923076923078</v>
      </c>
      <c r="H28" s="20">
        <f t="shared" si="216"/>
        <v>1.0615384615384615</v>
      </c>
      <c r="I28" s="20">
        <f t="shared" si="216"/>
        <v>1.0461538461538462</v>
      </c>
      <c r="J28" s="20">
        <f t="shared" si="216"/>
        <v>1.0461538461538462</v>
      </c>
      <c r="K28" s="20">
        <f t="shared" si="216"/>
        <v>1.0153846153846153</v>
      </c>
      <c r="L28" s="20">
        <f t="shared" si="216"/>
        <v>1.3692307692307693</v>
      </c>
      <c r="M28" s="20">
        <f t="shared" si="216"/>
        <v>1.3538461538461539</v>
      </c>
      <c r="N28" s="20">
        <f t="shared" si="216"/>
        <v>1.3538461538461539</v>
      </c>
      <c r="O28" s="20">
        <f t="shared" si="216"/>
        <v>1.3384615384615384</v>
      </c>
      <c r="P28" s="20">
        <f t="shared" si="216"/>
        <v>1.3538461538461539</v>
      </c>
      <c r="Q28" s="20">
        <f t="shared" si="216"/>
        <v>1.323076923076923</v>
      </c>
      <c r="R28" s="20">
        <f t="shared" si="216"/>
        <v>1.2923076923076924</v>
      </c>
      <c r="S28" s="20">
        <f t="shared" si="216"/>
        <v>1.2923076923076924</v>
      </c>
      <c r="T28" s="20">
        <f t="shared" si="216"/>
        <v>1.0461538461538462</v>
      </c>
      <c r="U28" s="20">
        <f t="shared" si="216"/>
        <v>1</v>
      </c>
      <c r="V28" s="20">
        <f t="shared" si="216"/>
        <v>0.98333333333333328</v>
      </c>
      <c r="W28" s="20">
        <f t="shared" si="216"/>
        <v>0.98333333333333328</v>
      </c>
      <c r="X28" s="20" t="e">
        <f t="shared" si="216"/>
        <v>#DIV/0!</v>
      </c>
      <c r="Y28" s="20" t="e">
        <f t="shared" si="216"/>
        <v>#DIV/0!</v>
      </c>
      <c r="Z28" s="20" t="e">
        <f t="shared" si="216"/>
        <v>#DIV/0!</v>
      </c>
      <c r="AA28" s="20" t="e">
        <f t="shared" si="216"/>
        <v>#DIV/0!</v>
      </c>
      <c r="AB28" s="20" t="e">
        <f t="shared" si="216"/>
        <v>#DIV/0!</v>
      </c>
      <c r="AC28" s="20" t="e">
        <f t="shared" si="216"/>
        <v>#DIV/0!</v>
      </c>
      <c r="AD28" s="20" t="e">
        <f t="shared" si="216"/>
        <v>#DIV/0!</v>
      </c>
      <c r="AE28" s="20" t="e">
        <f t="shared" si="216"/>
        <v>#DIV/0!</v>
      </c>
      <c r="AF28" s="20" t="e">
        <f t="shared" si="216"/>
        <v>#DIV/0!</v>
      </c>
      <c r="AG28" s="20" t="e">
        <f t="shared" si="216"/>
        <v>#DIV/0!</v>
      </c>
      <c r="AH28" s="20" t="e">
        <f t="shared" si="216"/>
        <v>#DIV/0!</v>
      </c>
      <c r="AI28" s="20" t="e">
        <f t="shared" si="216"/>
        <v>#DIV/0!</v>
      </c>
      <c r="AJ28" s="20" t="e">
        <f t="shared" si="216"/>
        <v>#DIV/0!</v>
      </c>
      <c r="AK28" s="20" t="e">
        <f t="shared" si="216"/>
        <v>#DIV/0!</v>
      </c>
      <c r="AL28" s="20" t="e">
        <f t="shared" si="216"/>
        <v>#DIV/0!</v>
      </c>
      <c r="AM28" s="20" t="e">
        <f t="shared" si="216"/>
        <v>#DIV/0!</v>
      </c>
      <c r="AN28" s="20" t="e">
        <f t="shared" si="216"/>
        <v>#DIV/0!</v>
      </c>
      <c r="AO28" s="20" t="e">
        <f t="shared" si="216"/>
        <v>#DIV/0!</v>
      </c>
      <c r="AP28" s="20" t="e">
        <f t="shared" si="216"/>
        <v>#DIV/0!</v>
      </c>
      <c r="AQ28" s="20" t="e">
        <f t="shared" si="216"/>
        <v>#DIV/0!</v>
      </c>
      <c r="AR28" s="20" t="e">
        <f t="shared" si="216"/>
        <v>#DIV/0!</v>
      </c>
      <c r="AS28" s="20" t="e">
        <f t="shared" si="216"/>
        <v>#DIV/0!</v>
      </c>
      <c r="AT28" s="20" t="e">
        <f t="shared" si="216"/>
        <v>#DIV/0!</v>
      </c>
      <c r="AU28" s="20" t="e">
        <f t="shared" si="216"/>
        <v>#DIV/0!</v>
      </c>
      <c r="AV28" s="20" t="e">
        <f t="shared" si="216"/>
        <v>#DIV/0!</v>
      </c>
      <c r="AW28" s="20" t="e">
        <f t="shared" si="216"/>
        <v>#DIV/0!</v>
      </c>
      <c r="AX28" s="20" t="e">
        <f t="shared" ref="AX28:AZ28" si="217">AX26/AX24</f>
        <v>#DIV/0!</v>
      </c>
      <c r="AY28" s="20" t="e">
        <f t="shared" si="217"/>
        <v>#DIV/0!</v>
      </c>
      <c r="AZ28" s="20" t="e">
        <f t="shared" si="217"/>
        <v>#DIV/0!</v>
      </c>
      <c r="BA28" s="20" t="e">
        <f t="shared" ref="BA28:BB28" si="218">BA26/BA24</f>
        <v>#DIV/0!</v>
      </c>
      <c r="BB28" s="20" t="e">
        <f t="shared" si="218"/>
        <v>#DIV/0!</v>
      </c>
      <c r="BC28" s="20" t="e">
        <f t="shared" ref="BC28:BG28" si="219">BC26/BC24</f>
        <v>#DIV/0!</v>
      </c>
      <c r="BD28" s="20" t="e">
        <f t="shared" si="219"/>
        <v>#DIV/0!</v>
      </c>
      <c r="BE28" s="20" t="e">
        <f t="shared" si="219"/>
        <v>#DIV/0!</v>
      </c>
      <c r="BF28" s="20" t="e">
        <f t="shared" si="219"/>
        <v>#DIV/0!</v>
      </c>
      <c r="BG28" s="20" t="e">
        <f t="shared" si="219"/>
        <v>#DIV/0!</v>
      </c>
      <c r="BH28" s="20" t="e">
        <f t="shared" ref="BH28:BM28" si="220">BH26/BH24</f>
        <v>#DIV/0!</v>
      </c>
      <c r="BI28" s="20" t="e">
        <f t="shared" si="220"/>
        <v>#DIV/0!</v>
      </c>
      <c r="BJ28" s="20" t="e">
        <f t="shared" si="220"/>
        <v>#DIV/0!</v>
      </c>
      <c r="BK28" s="20" t="e">
        <f t="shared" si="220"/>
        <v>#DIV/0!</v>
      </c>
      <c r="BL28" s="20" t="e">
        <f t="shared" si="220"/>
        <v>#DIV/0!</v>
      </c>
      <c r="BM28" s="20" t="e">
        <f t="shared" si="220"/>
        <v>#DIV/0!</v>
      </c>
      <c r="BN28" s="20" t="e">
        <f t="shared" ref="BN28:BO28" si="221">BN26/BN24</f>
        <v>#DIV/0!</v>
      </c>
      <c r="BO28" s="20" t="e">
        <f t="shared" si="221"/>
        <v>#DIV/0!</v>
      </c>
      <c r="BP28" s="20" t="e">
        <f t="shared" ref="BP28:CW28" si="222">BP26/BP24</f>
        <v>#DIV/0!</v>
      </c>
      <c r="BQ28" s="20" t="e">
        <f t="shared" si="222"/>
        <v>#DIV/0!</v>
      </c>
      <c r="BR28" s="20" t="e">
        <f t="shared" si="222"/>
        <v>#DIV/0!</v>
      </c>
      <c r="BS28" s="20" t="e">
        <f t="shared" si="222"/>
        <v>#DIV/0!</v>
      </c>
      <c r="BT28" s="20" t="e">
        <f t="shared" si="222"/>
        <v>#DIV/0!</v>
      </c>
      <c r="BU28" s="20" t="e">
        <f t="shared" si="222"/>
        <v>#DIV/0!</v>
      </c>
      <c r="BV28" s="20" t="e">
        <f t="shared" si="222"/>
        <v>#DIV/0!</v>
      </c>
      <c r="BW28" s="20" t="e">
        <f t="shared" si="222"/>
        <v>#DIV/0!</v>
      </c>
      <c r="BX28" s="20" t="e">
        <f t="shared" si="222"/>
        <v>#DIV/0!</v>
      </c>
      <c r="BY28" s="20" t="e">
        <f t="shared" si="222"/>
        <v>#DIV/0!</v>
      </c>
      <c r="BZ28" s="20" t="e">
        <f t="shared" si="222"/>
        <v>#DIV/0!</v>
      </c>
      <c r="CA28" s="20" t="e">
        <f t="shared" si="222"/>
        <v>#DIV/0!</v>
      </c>
      <c r="CB28" s="20" t="e">
        <f t="shared" si="222"/>
        <v>#DIV/0!</v>
      </c>
      <c r="CC28" s="20" t="e">
        <f t="shared" si="222"/>
        <v>#DIV/0!</v>
      </c>
      <c r="CD28" s="20" t="e">
        <f t="shared" si="222"/>
        <v>#DIV/0!</v>
      </c>
      <c r="CE28" s="20" t="e">
        <f t="shared" si="222"/>
        <v>#DIV/0!</v>
      </c>
      <c r="CF28" s="20" t="e">
        <f t="shared" si="222"/>
        <v>#DIV/0!</v>
      </c>
      <c r="CG28" s="20" t="e">
        <f t="shared" si="222"/>
        <v>#DIV/0!</v>
      </c>
      <c r="CH28" s="20" t="e">
        <f t="shared" si="222"/>
        <v>#DIV/0!</v>
      </c>
      <c r="CI28" s="20" t="e">
        <f t="shared" si="222"/>
        <v>#DIV/0!</v>
      </c>
      <c r="CJ28" s="20" t="e">
        <f t="shared" si="222"/>
        <v>#DIV/0!</v>
      </c>
      <c r="CK28" s="20" t="e">
        <f t="shared" si="222"/>
        <v>#DIV/0!</v>
      </c>
      <c r="CL28" s="20" t="e">
        <f t="shared" si="222"/>
        <v>#DIV/0!</v>
      </c>
      <c r="CM28" s="20" t="e">
        <f t="shared" si="222"/>
        <v>#DIV/0!</v>
      </c>
      <c r="CN28" s="20" t="e">
        <f t="shared" si="222"/>
        <v>#DIV/0!</v>
      </c>
      <c r="CO28" s="20" t="e">
        <f t="shared" si="222"/>
        <v>#DIV/0!</v>
      </c>
      <c r="CP28" s="20" t="e">
        <f t="shared" si="222"/>
        <v>#DIV/0!</v>
      </c>
      <c r="CQ28" s="20" t="e">
        <f t="shared" si="222"/>
        <v>#DIV/0!</v>
      </c>
      <c r="CR28" s="20" t="e">
        <f t="shared" si="222"/>
        <v>#DIV/0!</v>
      </c>
      <c r="CS28" s="20" t="e">
        <f t="shared" si="222"/>
        <v>#DIV/0!</v>
      </c>
      <c r="CT28" s="20" t="e">
        <f t="shared" si="222"/>
        <v>#DIV/0!</v>
      </c>
      <c r="CU28" s="20" t="e">
        <f t="shared" si="222"/>
        <v>#DIV/0!</v>
      </c>
      <c r="CV28" s="20" t="e">
        <f t="shared" si="222"/>
        <v>#DIV/0!</v>
      </c>
      <c r="CW28" s="20" t="e">
        <f t="shared" si="222"/>
        <v>#DIV/0!</v>
      </c>
      <c r="CX28" s="20" t="e">
        <f t="shared" ref="CX28:CY28" si="223">CX26/CX24</f>
        <v>#DIV/0!</v>
      </c>
      <c r="CY28" s="20" t="e">
        <f t="shared" si="223"/>
        <v>#DIV/0!</v>
      </c>
      <c r="CZ28" s="20" t="e">
        <f t="shared" ref="CZ28:EV28" si="224">CZ26/CZ24</f>
        <v>#DIV/0!</v>
      </c>
      <c r="DA28" s="20" t="e">
        <f t="shared" si="224"/>
        <v>#DIV/0!</v>
      </c>
      <c r="DB28" s="20" t="e">
        <f t="shared" si="224"/>
        <v>#DIV/0!</v>
      </c>
      <c r="DC28" s="20" t="e">
        <f t="shared" si="224"/>
        <v>#DIV/0!</v>
      </c>
      <c r="DD28" s="20" t="e">
        <f t="shared" si="224"/>
        <v>#DIV/0!</v>
      </c>
      <c r="DE28" s="20">
        <f t="shared" si="224"/>
        <v>0.9</v>
      </c>
      <c r="DF28" s="20">
        <f t="shared" si="224"/>
        <v>1</v>
      </c>
      <c r="DG28" s="20">
        <f t="shared" si="224"/>
        <v>0.9</v>
      </c>
      <c r="DH28" s="20">
        <f t="shared" si="224"/>
        <v>1</v>
      </c>
      <c r="DI28" s="20">
        <f t="shared" si="224"/>
        <v>1</v>
      </c>
      <c r="DJ28" s="20">
        <f t="shared" si="224"/>
        <v>0.8</v>
      </c>
      <c r="DK28" s="20">
        <f t="shared" si="224"/>
        <v>0.8</v>
      </c>
      <c r="DL28" s="20">
        <f t="shared" si="224"/>
        <v>0.8</v>
      </c>
      <c r="DM28" s="20">
        <f t="shared" si="224"/>
        <v>1.1489102586196993</v>
      </c>
      <c r="DN28" s="20">
        <f t="shared" si="224"/>
        <v>1.1489102586196991</v>
      </c>
      <c r="DO28" s="20">
        <f t="shared" si="224"/>
        <v>1.1309018942606728</v>
      </c>
      <c r="DP28" s="20">
        <f t="shared" si="224"/>
        <v>1.1566042100393246</v>
      </c>
      <c r="DQ28" s="20">
        <f t="shared" si="224"/>
        <v>1.2578616352201257</v>
      </c>
      <c r="DR28" s="20">
        <f t="shared" si="224"/>
        <v>1.1246538174968017</v>
      </c>
      <c r="DS28" s="20">
        <f t="shared" si="224"/>
        <v>1.1246538174968017</v>
      </c>
      <c r="DT28" s="20">
        <f t="shared" si="224"/>
        <v>1.1063170704723975</v>
      </c>
      <c r="DU28" s="20">
        <f t="shared" si="224"/>
        <v>1.1063170704723975</v>
      </c>
      <c r="DV28" s="20">
        <f t="shared" si="224"/>
        <v>1.1119759813188035</v>
      </c>
      <c r="DW28" s="20">
        <f t="shared" si="224"/>
        <v>1.1304065224456346</v>
      </c>
      <c r="DX28" s="20">
        <f t="shared" si="224"/>
        <v>1.1841855571400617</v>
      </c>
      <c r="DY28" s="20">
        <f t="shared" si="224"/>
        <v>1.1536061150352945</v>
      </c>
      <c r="DZ28" s="20">
        <f t="shared" si="224"/>
        <v>1.149458317767752</v>
      </c>
      <c r="EA28" s="20">
        <f t="shared" si="224"/>
        <v>1.149458317767752</v>
      </c>
      <c r="EB28" s="20">
        <f t="shared" si="224"/>
        <v>1.149458317767752</v>
      </c>
      <c r="EC28" s="20">
        <f t="shared" si="224"/>
        <v>1.1465260261407935</v>
      </c>
      <c r="ED28" s="20">
        <f t="shared" si="224"/>
        <v>1.1465260261407935</v>
      </c>
      <c r="EE28" s="20">
        <f t="shared" si="224"/>
        <v>1.1275228323373547</v>
      </c>
      <c r="EF28" s="20">
        <f t="shared" si="224"/>
        <v>1.1275228323373547</v>
      </c>
      <c r="EG28" s="20">
        <f t="shared" si="224"/>
        <v>1.1275228323373547</v>
      </c>
      <c r="EH28" s="20">
        <f t="shared" si="224"/>
        <v>1.1275228323373547</v>
      </c>
      <c r="EI28" s="20">
        <f t="shared" si="224"/>
        <v>1.1275228323373547</v>
      </c>
      <c r="EJ28" s="20">
        <f t="shared" si="224"/>
        <v>1.1275228323373547</v>
      </c>
      <c r="EK28" s="20">
        <f t="shared" si="224"/>
        <v>1.1275228323373547</v>
      </c>
      <c r="EL28" s="20">
        <f t="shared" si="224"/>
        <v>1.1275228323373547</v>
      </c>
      <c r="EM28" s="20">
        <f t="shared" si="224"/>
        <v>1.1275228323373547</v>
      </c>
      <c r="EN28" s="20">
        <f t="shared" si="224"/>
        <v>1.1275228323373547</v>
      </c>
      <c r="EO28" s="20">
        <f t="shared" si="224"/>
        <v>1.1275228323373547</v>
      </c>
      <c r="EP28" s="20">
        <f t="shared" si="224"/>
        <v>1.1275228323373547</v>
      </c>
      <c r="EQ28" s="20">
        <f t="shared" si="224"/>
        <v>1.1275228323373547</v>
      </c>
      <c r="ER28" s="20">
        <f t="shared" si="224"/>
        <v>1.1275228323373547</v>
      </c>
      <c r="ES28" s="20">
        <f t="shared" si="224"/>
        <v>1.1275228323373547</v>
      </c>
      <c r="ET28" s="20">
        <f t="shared" si="224"/>
        <v>1.1275228323373547</v>
      </c>
      <c r="EU28" s="20" t="e">
        <f t="shared" si="224"/>
        <v>#DIV/0!</v>
      </c>
      <c r="EV28" s="20" t="e">
        <f t="shared" si="224"/>
        <v>#DIV/0!</v>
      </c>
      <c r="EW28" s="20" t="e">
        <f t="shared" ref="EW28:EY28" si="225">EW26/EW24</f>
        <v>#DIV/0!</v>
      </c>
      <c r="EX28" s="20" t="e">
        <f t="shared" si="225"/>
        <v>#DIV/0!</v>
      </c>
      <c r="EY28" s="20" t="e">
        <f t="shared" si="225"/>
        <v>#DIV/0!</v>
      </c>
    </row>
    <row r="29" spans="1:155" x14ac:dyDescent="0.3">
      <c r="AL29" s="26"/>
      <c r="AP29" s="26"/>
      <c r="AT29" s="26"/>
    </row>
    <row r="30" spans="1:155" x14ac:dyDescent="0.3">
      <c r="A30" s="40" t="s">
        <v>44</v>
      </c>
      <c r="B30" s="40" t="s">
        <v>44</v>
      </c>
      <c r="C30" s="37" t="s">
        <v>23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</row>
    <row r="31" spans="1:155" x14ac:dyDescent="0.3">
      <c r="A31" s="40"/>
      <c r="B31" s="40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34">
        <v>15</v>
      </c>
      <c r="EG31" s="34">
        <v>15</v>
      </c>
      <c r="EH31" s="34">
        <v>15</v>
      </c>
      <c r="EI31" s="21">
        <v>15</v>
      </c>
      <c r="EJ31" s="21">
        <v>25</v>
      </c>
      <c r="EK31" s="21">
        <v>25</v>
      </c>
      <c r="EL31" s="21">
        <v>25</v>
      </c>
      <c r="EM31" s="21">
        <v>25</v>
      </c>
      <c r="EN31" s="21">
        <v>25</v>
      </c>
      <c r="EO31" s="21">
        <v>30</v>
      </c>
      <c r="EP31" s="21">
        <v>30</v>
      </c>
      <c r="EQ31" s="17">
        <v>50</v>
      </c>
      <c r="ER31" s="17">
        <v>50</v>
      </c>
      <c r="ES31" s="17">
        <v>50</v>
      </c>
      <c r="ET31" s="17">
        <v>50</v>
      </c>
      <c r="EU31" s="21">
        <v>70.805326870891705</v>
      </c>
      <c r="EV31" s="21">
        <v>70.805326870891705</v>
      </c>
      <c r="EW31" s="21">
        <v>70.805326870891705</v>
      </c>
      <c r="EX31" s="21">
        <v>69.743246967828327</v>
      </c>
      <c r="EY31" s="21"/>
    </row>
    <row r="32" spans="1:155" x14ac:dyDescent="0.3">
      <c r="A32" s="40"/>
      <c r="B32" s="40"/>
      <c r="C32" s="38"/>
      <c r="D32" s="15" t="s">
        <v>28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21"/>
      <c r="DN32" s="21"/>
      <c r="DO32" s="21"/>
      <c r="DP32" s="21"/>
      <c r="DQ32" s="21"/>
      <c r="DR32" s="21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>
        <v>15</v>
      </c>
      <c r="EG32" s="34">
        <v>15</v>
      </c>
      <c r="EH32" s="34">
        <v>15</v>
      </c>
      <c r="EI32" s="21">
        <v>15</v>
      </c>
      <c r="EJ32" s="21">
        <v>25</v>
      </c>
      <c r="EK32" s="21">
        <v>25</v>
      </c>
      <c r="EL32" s="21">
        <v>25</v>
      </c>
      <c r="EM32" s="21">
        <v>25</v>
      </c>
      <c r="EN32" s="21">
        <v>25</v>
      </c>
      <c r="EO32" s="21">
        <v>30</v>
      </c>
      <c r="EP32" s="21">
        <v>30</v>
      </c>
      <c r="EQ32" s="17">
        <v>50</v>
      </c>
      <c r="ER32" s="17">
        <v>50</v>
      </c>
      <c r="ES32" s="17">
        <v>50</v>
      </c>
      <c r="ET32" s="17">
        <v>50</v>
      </c>
      <c r="EU32" s="17">
        <v>70</v>
      </c>
      <c r="EV32" s="17">
        <v>70</v>
      </c>
      <c r="EW32" s="17">
        <v>70</v>
      </c>
      <c r="EX32" s="17">
        <v>70</v>
      </c>
      <c r="EY32" s="17"/>
    </row>
    <row r="33" spans="1:155" x14ac:dyDescent="0.3">
      <c r="A33" s="40"/>
      <c r="B33" s="40"/>
      <c r="C33" s="38"/>
      <c r="D33" s="15" t="s">
        <v>15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22"/>
      <c r="DN33" s="22"/>
      <c r="DO33" s="22"/>
      <c r="DP33" s="22"/>
      <c r="DQ33" s="22"/>
      <c r="DR33" s="22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>
        <v>18.75</v>
      </c>
      <c r="EG33" s="35">
        <v>17.188124999999999</v>
      </c>
      <c r="EH33" s="35">
        <v>17.188124999999999</v>
      </c>
      <c r="EI33" s="35">
        <v>26.400599999999997</v>
      </c>
      <c r="EJ33" s="35">
        <v>25.57593</v>
      </c>
      <c r="EK33" s="35">
        <v>24.57593</v>
      </c>
      <c r="EL33" s="35">
        <v>23.592892800000001</v>
      </c>
      <c r="EM33" s="35">
        <v>23.592892800000001</v>
      </c>
      <c r="EN33" s="35">
        <v>33.4928928</v>
      </c>
      <c r="EO33" s="35">
        <v>32.314329407999999</v>
      </c>
      <c r="EP33" s="35">
        <v>32.314329407999999</v>
      </c>
      <c r="EQ33" s="35">
        <v>52.939329407999999</v>
      </c>
      <c r="ER33" s="35">
        <v>48.73655196688</v>
      </c>
      <c r="ES33" s="35">
        <v>48.73655196688</v>
      </c>
      <c r="ET33" s="35">
        <v>48.73655196688</v>
      </c>
      <c r="EU33" s="35">
        <v>70.805326870891705</v>
      </c>
      <c r="EV33" s="35">
        <v>70.805326870891705</v>
      </c>
      <c r="EW33" s="35">
        <v>70.805326870891705</v>
      </c>
      <c r="EX33" s="35">
        <v>69.743246967828327</v>
      </c>
      <c r="EY33" s="35">
        <f t="shared" ref="EY33" si="226">EY32</f>
        <v>0</v>
      </c>
    </row>
    <row r="34" spans="1:155" x14ac:dyDescent="0.3">
      <c r="A34" s="40"/>
      <c r="B34" s="40"/>
      <c r="C34" s="38"/>
      <c r="D34" s="15" t="s">
        <v>16</v>
      </c>
      <c r="E34" s="19" t="e">
        <f t="shared" ref="E34:BP34" si="227">E33/E30</f>
        <v>#DIV/0!</v>
      </c>
      <c r="F34" s="19" t="e">
        <f t="shared" si="227"/>
        <v>#DIV/0!</v>
      </c>
      <c r="G34" s="19" t="e">
        <f t="shared" si="227"/>
        <v>#DIV/0!</v>
      </c>
      <c r="H34" s="19" t="e">
        <f t="shared" si="227"/>
        <v>#DIV/0!</v>
      </c>
      <c r="I34" s="19" t="e">
        <f t="shared" si="227"/>
        <v>#DIV/0!</v>
      </c>
      <c r="J34" s="19" t="e">
        <f t="shared" si="227"/>
        <v>#DIV/0!</v>
      </c>
      <c r="K34" s="19" t="e">
        <f t="shared" si="227"/>
        <v>#DIV/0!</v>
      </c>
      <c r="L34" s="19" t="e">
        <f t="shared" si="227"/>
        <v>#DIV/0!</v>
      </c>
      <c r="M34" s="19" t="e">
        <f t="shared" si="227"/>
        <v>#DIV/0!</v>
      </c>
      <c r="N34" s="19" t="e">
        <f t="shared" si="227"/>
        <v>#DIV/0!</v>
      </c>
      <c r="O34" s="19" t="e">
        <f t="shared" si="227"/>
        <v>#DIV/0!</v>
      </c>
      <c r="P34" s="19" t="e">
        <f t="shared" si="227"/>
        <v>#DIV/0!</v>
      </c>
      <c r="Q34" s="19" t="e">
        <f t="shared" si="227"/>
        <v>#DIV/0!</v>
      </c>
      <c r="R34" s="19" t="e">
        <f t="shared" si="227"/>
        <v>#DIV/0!</v>
      </c>
      <c r="S34" s="19" t="e">
        <f t="shared" si="227"/>
        <v>#DIV/0!</v>
      </c>
      <c r="T34" s="19" t="e">
        <f t="shared" si="227"/>
        <v>#DIV/0!</v>
      </c>
      <c r="U34" s="19" t="e">
        <f t="shared" si="227"/>
        <v>#DIV/0!</v>
      </c>
      <c r="V34" s="19" t="e">
        <f t="shared" si="227"/>
        <v>#DIV/0!</v>
      </c>
      <c r="W34" s="19" t="e">
        <f t="shared" si="227"/>
        <v>#DIV/0!</v>
      </c>
      <c r="X34" s="19" t="e">
        <f t="shared" si="227"/>
        <v>#DIV/0!</v>
      </c>
      <c r="Y34" s="19" t="e">
        <f t="shared" si="227"/>
        <v>#DIV/0!</v>
      </c>
      <c r="Z34" s="19" t="e">
        <f t="shared" si="227"/>
        <v>#DIV/0!</v>
      </c>
      <c r="AA34" s="19" t="e">
        <f t="shared" si="227"/>
        <v>#DIV/0!</v>
      </c>
      <c r="AB34" s="19" t="e">
        <f t="shared" si="227"/>
        <v>#DIV/0!</v>
      </c>
      <c r="AC34" s="19" t="e">
        <f t="shared" si="227"/>
        <v>#DIV/0!</v>
      </c>
      <c r="AD34" s="19" t="e">
        <f t="shared" si="227"/>
        <v>#DIV/0!</v>
      </c>
      <c r="AE34" s="19" t="e">
        <f t="shared" si="227"/>
        <v>#DIV/0!</v>
      </c>
      <c r="AF34" s="19" t="e">
        <f t="shared" si="227"/>
        <v>#DIV/0!</v>
      </c>
      <c r="AG34" s="19" t="e">
        <f t="shared" si="227"/>
        <v>#DIV/0!</v>
      </c>
      <c r="AH34" s="19" t="e">
        <f t="shared" si="227"/>
        <v>#DIV/0!</v>
      </c>
      <c r="AI34" s="19" t="e">
        <f t="shared" si="227"/>
        <v>#DIV/0!</v>
      </c>
      <c r="AJ34" s="19" t="e">
        <f t="shared" si="227"/>
        <v>#DIV/0!</v>
      </c>
      <c r="AK34" s="19" t="e">
        <f t="shared" si="227"/>
        <v>#DIV/0!</v>
      </c>
      <c r="AL34" s="19" t="e">
        <f t="shared" si="227"/>
        <v>#DIV/0!</v>
      </c>
      <c r="AM34" s="19" t="e">
        <f t="shared" si="227"/>
        <v>#DIV/0!</v>
      </c>
      <c r="AN34" s="19" t="e">
        <f t="shared" si="227"/>
        <v>#DIV/0!</v>
      </c>
      <c r="AO34" s="19" t="e">
        <f t="shared" si="227"/>
        <v>#DIV/0!</v>
      </c>
      <c r="AP34" s="19" t="e">
        <f t="shared" si="227"/>
        <v>#DIV/0!</v>
      </c>
      <c r="AQ34" s="19" t="e">
        <f t="shared" si="227"/>
        <v>#DIV/0!</v>
      </c>
      <c r="AR34" s="19" t="e">
        <f t="shared" si="227"/>
        <v>#DIV/0!</v>
      </c>
      <c r="AS34" s="19" t="e">
        <f t="shared" si="227"/>
        <v>#DIV/0!</v>
      </c>
      <c r="AT34" s="19" t="e">
        <f t="shared" si="227"/>
        <v>#DIV/0!</v>
      </c>
      <c r="AU34" s="19" t="e">
        <f t="shared" si="227"/>
        <v>#DIV/0!</v>
      </c>
      <c r="AV34" s="19" t="e">
        <f t="shared" si="227"/>
        <v>#DIV/0!</v>
      </c>
      <c r="AW34" s="19" t="e">
        <f t="shared" si="227"/>
        <v>#DIV/0!</v>
      </c>
      <c r="AX34" s="19" t="e">
        <f t="shared" si="227"/>
        <v>#DIV/0!</v>
      </c>
      <c r="AY34" s="19" t="e">
        <f t="shared" si="227"/>
        <v>#DIV/0!</v>
      </c>
      <c r="AZ34" s="19" t="e">
        <f t="shared" si="227"/>
        <v>#DIV/0!</v>
      </c>
      <c r="BA34" s="19" t="e">
        <f t="shared" si="227"/>
        <v>#DIV/0!</v>
      </c>
      <c r="BB34" s="19" t="e">
        <f t="shared" si="227"/>
        <v>#DIV/0!</v>
      </c>
      <c r="BC34" s="19" t="e">
        <f t="shared" si="227"/>
        <v>#DIV/0!</v>
      </c>
      <c r="BD34" s="19" t="e">
        <f t="shared" si="227"/>
        <v>#DIV/0!</v>
      </c>
      <c r="BE34" s="19" t="e">
        <f t="shared" si="227"/>
        <v>#DIV/0!</v>
      </c>
      <c r="BF34" s="19" t="e">
        <f t="shared" si="227"/>
        <v>#DIV/0!</v>
      </c>
      <c r="BG34" s="19" t="e">
        <f t="shared" si="227"/>
        <v>#DIV/0!</v>
      </c>
      <c r="BH34" s="19" t="e">
        <f t="shared" si="227"/>
        <v>#DIV/0!</v>
      </c>
      <c r="BI34" s="19" t="e">
        <f t="shared" si="227"/>
        <v>#DIV/0!</v>
      </c>
      <c r="BJ34" s="19" t="e">
        <f t="shared" si="227"/>
        <v>#DIV/0!</v>
      </c>
      <c r="BK34" s="19" t="e">
        <f t="shared" si="227"/>
        <v>#DIV/0!</v>
      </c>
      <c r="BL34" s="19" t="e">
        <f t="shared" si="227"/>
        <v>#DIV/0!</v>
      </c>
      <c r="BM34" s="19" t="e">
        <f t="shared" si="227"/>
        <v>#DIV/0!</v>
      </c>
      <c r="BN34" s="19" t="e">
        <f t="shared" si="227"/>
        <v>#DIV/0!</v>
      </c>
      <c r="BO34" s="19" t="e">
        <f t="shared" si="227"/>
        <v>#DIV/0!</v>
      </c>
      <c r="BP34" s="19" t="e">
        <f t="shared" si="227"/>
        <v>#DIV/0!</v>
      </c>
      <c r="BQ34" s="19" t="e">
        <f t="shared" ref="BQ34:EB34" si="228">BQ33/BQ30</f>
        <v>#DIV/0!</v>
      </c>
      <c r="BR34" s="19" t="e">
        <f t="shared" si="228"/>
        <v>#DIV/0!</v>
      </c>
      <c r="BS34" s="19" t="e">
        <f t="shared" si="228"/>
        <v>#DIV/0!</v>
      </c>
      <c r="BT34" s="19" t="e">
        <f t="shared" si="228"/>
        <v>#DIV/0!</v>
      </c>
      <c r="BU34" s="19" t="e">
        <f t="shared" si="228"/>
        <v>#DIV/0!</v>
      </c>
      <c r="BV34" s="19" t="e">
        <f t="shared" si="228"/>
        <v>#DIV/0!</v>
      </c>
      <c r="BW34" s="19" t="e">
        <f t="shared" si="228"/>
        <v>#DIV/0!</v>
      </c>
      <c r="BX34" s="19" t="e">
        <f t="shared" si="228"/>
        <v>#DIV/0!</v>
      </c>
      <c r="BY34" s="19" t="e">
        <f t="shared" si="228"/>
        <v>#DIV/0!</v>
      </c>
      <c r="BZ34" s="19" t="e">
        <f t="shared" si="228"/>
        <v>#DIV/0!</v>
      </c>
      <c r="CA34" s="19" t="e">
        <f t="shared" si="228"/>
        <v>#DIV/0!</v>
      </c>
      <c r="CB34" s="19" t="e">
        <f t="shared" si="228"/>
        <v>#DIV/0!</v>
      </c>
      <c r="CC34" s="19" t="e">
        <f t="shared" si="228"/>
        <v>#DIV/0!</v>
      </c>
      <c r="CD34" s="19" t="e">
        <f t="shared" si="228"/>
        <v>#DIV/0!</v>
      </c>
      <c r="CE34" s="19" t="e">
        <f t="shared" si="228"/>
        <v>#DIV/0!</v>
      </c>
      <c r="CF34" s="19" t="e">
        <f t="shared" si="228"/>
        <v>#DIV/0!</v>
      </c>
      <c r="CG34" s="19" t="e">
        <f t="shared" si="228"/>
        <v>#DIV/0!</v>
      </c>
      <c r="CH34" s="19" t="e">
        <f t="shared" si="228"/>
        <v>#DIV/0!</v>
      </c>
      <c r="CI34" s="19" t="e">
        <f t="shared" si="228"/>
        <v>#DIV/0!</v>
      </c>
      <c r="CJ34" s="19" t="e">
        <f t="shared" si="228"/>
        <v>#DIV/0!</v>
      </c>
      <c r="CK34" s="19" t="e">
        <f t="shared" si="228"/>
        <v>#DIV/0!</v>
      </c>
      <c r="CL34" s="19" t="e">
        <f t="shared" si="228"/>
        <v>#DIV/0!</v>
      </c>
      <c r="CM34" s="19" t="e">
        <f t="shared" si="228"/>
        <v>#DIV/0!</v>
      </c>
      <c r="CN34" s="19" t="e">
        <f t="shared" si="228"/>
        <v>#DIV/0!</v>
      </c>
      <c r="CO34" s="19" t="e">
        <f t="shared" si="228"/>
        <v>#DIV/0!</v>
      </c>
      <c r="CP34" s="19" t="e">
        <f t="shared" si="228"/>
        <v>#DIV/0!</v>
      </c>
      <c r="CQ34" s="19" t="e">
        <f t="shared" si="228"/>
        <v>#DIV/0!</v>
      </c>
      <c r="CR34" s="19" t="e">
        <f t="shared" si="228"/>
        <v>#DIV/0!</v>
      </c>
      <c r="CS34" s="19" t="e">
        <f t="shared" si="228"/>
        <v>#DIV/0!</v>
      </c>
      <c r="CT34" s="19" t="e">
        <f t="shared" si="228"/>
        <v>#DIV/0!</v>
      </c>
      <c r="CU34" s="19" t="e">
        <f t="shared" si="228"/>
        <v>#DIV/0!</v>
      </c>
      <c r="CV34" s="19" t="e">
        <f t="shared" si="228"/>
        <v>#DIV/0!</v>
      </c>
      <c r="CW34" s="19" t="e">
        <f t="shared" si="228"/>
        <v>#DIV/0!</v>
      </c>
      <c r="CX34" s="19" t="e">
        <f t="shared" si="228"/>
        <v>#DIV/0!</v>
      </c>
      <c r="CY34" s="19" t="e">
        <f t="shared" si="228"/>
        <v>#DIV/0!</v>
      </c>
      <c r="CZ34" s="19" t="e">
        <f t="shared" si="228"/>
        <v>#DIV/0!</v>
      </c>
      <c r="DA34" s="19" t="e">
        <f t="shared" si="228"/>
        <v>#DIV/0!</v>
      </c>
      <c r="DB34" s="19" t="e">
        <f t="shared" si="228"/>
        <v>#DIV/0!</v>
      </c>
      <c r="DC34" s="19" t="e">
        <f t="shared" si="228"/>
        <v>#DIV/0!</v>
      </c>
      <c r="DD34" s="19" t="e">
        <f t="shared" si="228"/>
        <v>#DIV/0!</v>
      </c>
      <c r="DE34" s="19" t="e">
        <f t="shared" si="228"/>
        <v>#DIV/0!</v>
      </c>
      <c r="DF34" s="19" t="e">
        <f t="shared" si="228"/>
        <v>#DIV/0!</v>
      </c>
      <c r="DG34" s="19" t="e">
        <f t="shared" si="228"/>
        <v>#DIV/0!</v>
      </c>
      <c r="DH34" s="19" t="e">
        <f t="shared" si="228"/>
        <v>#DIV/0!</v>
      </c>
      <c r="DI34" s="19" t="e">
        <f t="shared" si="228"/>
        <v>#DIV/0!</v>
      </c>
      <c r="DJ34" s="19" t="e">
        <f t="shared" si="228"/>
        <v>#DIV/0!</v>
      </c>
      <c r="DK34" s="19" t="e">
        <f t="shared" si="228"/>
        <v>#DIV/0!</v>
      </c>
      <c r="DL34" s="19" t="e">
        <f t="shared" si="228"/>
        <v>#DIV/0!</v>
      </c>
      <c r="DM34" s="19" t="e">
        <f t="shared" si="228"/>
        <v>#DIV/0!</v>
      </c>
      <c r="DN34" s="19" t="e">
        <f t="shared" si="228"/>
        <v>#DIV/0!</v>
      </c>
      <c r="DO34" s="19" t="e">
        <f t="shared" si="228"/>
        <v>#DIV/0!</v>
      </c>
      <c r="DP34" s="19" t="e">
        <f t="shared" si="228"/>
        <v>#DIV/0!</v>
      </c>
      <c r="DQ34" s="19" t="e">
        <f t="shared" si="228"/>
        <v>#DIV/0!</v>
      </c>
      <c r="DR34" s="19" t="e">
        <f t="shared" si="228"/>
        <v>#DIV/0!</v>
      </c>
      <c r="DS34" s="19" t="e">
        <f t="shared" si="228"/>
        <v>#DIV/0!</v>
      </c>
      <c r="DT34" s="19" t="e">
        <f t="shared" si="228"/>
        <v>#DIV/0!</v>
      </c>
      <c r="DU34" s="19" t="e">
        <f t="shared" si="228"/>
        <v>#DIV/0!</v>
      </c>
      <c r="DV34" s="19" t="e">
        <f t="shared" si="228"/>
        <v>#DIV/0!</v>
      </c>
      <c r="DW34" s="19" t="e">
        <f t="shared" si="228"/>
        <v>#DIV/0!</v>
      </c>
      <c r="DX34" s="19" t="e">
        <f t="shared" si="228"/>
        <v>#DIV/0!</v>
      </c>
      <c r="DY34" s="19" t="e">
        <f t="shared" si="228"/>
        <v>#DIV/0!</v>
      </c>
      <c r="DZ34" s="19" t="e">
        <f t="shared" si="228"/>
        <v>#DIV/0!</v>
      </c>
      <c r="EA34" s="19" t="e">
        <f t="shared" si="228"/>
        <v>#DIV/0!</v>
      </c>
      <c r="EB34" s="19" t="e">
        <f t="shared" si="228"/>
        <v>#DIV/0!</v>
      </c>
      <c r="EC34" s="19" t="e">
        <f t="shared" ref="EC34:EY34" si="229">EC33/EC30</f>
        <v>#DIV/0!</v>
      </c>
      <c r="ED34" s="19" t="e">
        <f t="shared" si="229"/>
        <v>#DIV/0!</v>
      </c>
      <c r="EE34" s="19" t="e">
        <f t="shared" si="229"/>
        <v>#DIV/0!</v>
      </c>
      <c r="EF34" s="19" t="e">
        <f t="shared" si="229"/>
        <v>#DIV/0!</v>
      </c>
      <c r="EG34" s="19" t="e">
        <f t="shared" si="229"/>
        <v>#DIV/0!</v>
      </c>
      <c r="EH34" s="19" t="e">
        <f t="shared" si="229"/>
        <v>#DIV/0!</v>
      </c>
      <c r="EI34" s="19" t="e">
        <f t="shared" si="229"/>
        <v>#DIV/0!</v>
      </c>
      <c r="EJ34" s="19" t="e">
        <f t="shared" si="229"/>
        <v>#DIV/0!</v>
      </c>
      <c r="EK34" s="19" t="e">
        <f t="shared" si="229"/>
        <v>#DIV/0!</v>
      </c>
      <c r="EL34" s="19" t="e">
        <f t="shared" si="229"/>
        <v>#DIV/0!</v>
      </c>
      <c r="EM34" s="19" t="e">
        <f t="shared" si="229"/>
        <v>#DIV/0!</v>
      </c>
      <c r="EN34" s="19" t="e">
        <f t="shared" si="229"/>
        <v>#DIV/0!</v>
      </c>
      <c r="EO34" s="19" t="e">
        <f t="shared" si="229"/>
        <v>#DIV/0!</v>
      </c>
      <c r="EP34" s="19" t="e">
        <f t="shared" si="229"/>
        <v>#DIV/0!</v>
      </c>
      <c r="EQ34" s="19" t="e">
        <f t="shared" si="229"/>
        <v>#DIV/0!</v>
      </c>
      <c r="ER34" s="19" t="e">
        <f t="shared" si="229"/>
        <v>#DIV/0!</v>
      </c>
      <c r="ES34" s="19" t="e">
        <f t="shared" si="229"/>
        <v>#DIV/0!</v>
      </c>
      <c r="ET34" s="19" t="e">
        <f t="shared" si="229"/>
        <v>#DIV/0!</v>
      </c>
      <c r="EU34" s="19" t="e">
        <f t="shared" si="229"/>
        <v>#DIV/0!</v>
      </c>
      <c r="EV34" s="19" t="e">
        <f t="shared" si="229"/>
        <v>#DIV/0!</v>
      </c>
      <c r="EW34" s="19" t="e">
        <f t="shared" si="229"/>
        <v>#DIV/0!</v>
      </c>
      <c r="EX34" s="19" t="e">
        <f t="shared" si="229"/>
        <v>#DIV/0!</v>
      </c>
      <c r="EY34" s="19" t="e">
        <f t="shared" si="229"/>
        <v>#DIV/0!</v>
      </c>
    </row>
    <row r="35" spans="1:155" x14ac:dyDescent="0.3">
      <c r="A35" s="40"/>
      <c r="B35" s="40"/>
      <c r="C35" s="39"/>
      <c r="D35" s="15" t="s">
        <v>17</v>
      </c>
      <c r="E35" s="20" t="e">
        <f>E33/E31</f>
        <v>#DIV/0!</v>
      </c>
      <c r="F35" s="20" t="e">
        <f t="shared" ref="F35:BQ35" si="230">F33/F31</f>
        <v>#DIV/0!</v>
      </c>
      <c r="G35" s="20" t="e">
        <f t="shared" si="230"/>
        <v>#DIV/0!</v>
      </c>
      <c r="H35" s="20" t="e">
        <f t="shared" si="230"/>
        <v>#DIV/0!</v>
      </c>
      <c r="I35" s="20" t="e">
        <f t="shared" si="230"/>
        <v>#DIV/0!</v>
      </c>
      <c r="J35" s="20" t="e">
        <f t="shared" si="230"/>
        <v>#DIV/0!</v>
      </c>
      <c r="K35" s="20" t="e">
        <f t="shared" si="230"/>
        <v>#DIV/0!</v>
      </c>
      <c r="L35" s="20" t="e">
        <f t="shared" si="230"/>
        <v>#DIV/0!</v>
      </c>
      <c r="M35" s="20" t="e">
        <f t="shared" si="230"/>
        <v>#DIV/0!</v>
      </c>
      <c r="N35" s="20" t="e">
        <f t="shared" si="230"/>
        <v>#DIV/0!</v>
      </c>
      <c r="O35" s="20" t="e">
        <f t="shared" si="230"/>
        <v>#DIV/0!</v>
      </c>
      <c r="P35" s="20" t="e">
        <f t="shared" si="230"/>
        <v>#DIV/0!</v>
      </c>
      <c r="Q35" s="20" t="e">
        <f t="shared" si="230"/>
        <v>#DIV/0!</v>
      </c>
      <c r="R35" s="20" t="e">
        <f t="shared" si="230"/>
        <v>#DIV/0!</v>
      </c>
      <c r="S35" s="20" t="e">
        <f t="shared" si="230"/>
        <v>#DIV/0!</v>
      </c>
      <c r="T35" s="20" t="e">
        <f t="shared" si="230"/>
        <v>#DIV/0!</v>
      </c>
      <c r="U35" s="20" t="e">
        <f t="shared" si="230"/>
        <v>#DIV/0!</v>
      </c>
      <c r="V35" s="20" t="e">
        <f t="shared" si="230"/>
        <v>#DIV/0!</v>
      </c>
      <c r="W35" s="20" t="e">
        <f t="shared" si="230"/>
        <v>#DIV/0!</v>
      </c>
      <c r="X35" s="20" t="e">
        <f t="shared" si="230"/>
        <v>#DIV/0!</v>
      </c>
      <c r="Y35" s="20" t="e">
        <f t="shared" si="230"/>
        <v>#DIV/0!</v>
      </c>
      <c r="Z35" s="20" t="e">
        <f t="shared" si="230"/>
        <v>#DIV/0!</v>
      </c>
      <c r="AA35" s="20" t="e">
        <f t="shared" si="230"/>
        <v>#DIV/0!</v>
      </c>
      <c r="AB35" s="20" t="e">
        <f t="shared" si="230"/>
        <v>#DIV/0!</v>
      </c>
      <c r="AC35" s="20" t="e">
        <f t="shared" si="230"/>
        <v>#DIV/0!</v>
      </c>
      <c r="AD35" s="20" t="e">
        <f t="shared" si="230"/>
        <v>#DIV/0!</v>
      </c>
      <c r="AE35" s="20" t="e">
        <f t="shared" si="230"/>
        <v>#DIV/0!</v>
      </c>
      <c r="AF35" s="20" t="e">
        <f t="shared" si="230"/>
        <v>#DIV/0!</v>
      </c>
      <c r="AG35" s="20" t="e">
        <f t="shared" si="230"/>
        <v>#DIV/0!</v>
      </c>
      <c r="AH35" s="20" t="e">
        <f t="shared" si="230"/>
        <v>#DIV/0!</v>
      </c>
      <c r="AI35" s="20" t="e">
        <f t="shared" si="230"/>
        <v>#DIV/0!</v>
      </c>
      <c r="AJ35" s="20" t="e">
        <f t="shared" si="230"/>
        <v>#DIV/0!</v>
      </c>
      <c r="AK35" s="20" t="e">
        <f t="shared" si="230"/>
        <v>#DIV/0!</v>
      </c>
      <c r="AL35" s="20" t="e">
        <f t="shared" si="230"/>
        <v>#DIV/0!</v>
      </c>
      <c r="AM35" s="20" t="e">
        <f t="shared" si="230"/>
        <v>#DIV/0!</v>
      </c>
      <c r="AN35" s="20" t="e">
        <f t="shared" si="230"/>
        <v>#DIV/0!</v>
      </c>
      <c r="AO35" s="20" t="e">
        <f t="shared" si="230"/>
        <v>#DIV/0!</v>
      </c>
      <c r="AP35" s="20" t="e">
        <f t="shared" si="230"/>
        <v>#DIV/0!</v>
      </c>
      <c r="AQ35" s="20" t="e">
        <f t="shared" si="230"/>
        <v>#DIV/0!</v>
      </c>
      <c r="AR35" s="20" t="e">
        <f t="shared" si="230"/>
        <v>#DIV/0!</v>
      </c>
      <c r="AS35" s="20" t="e">
        <f t="shared" si="230"/>
        <v>#DIV/0!</v>
      </c>
      <c r="AT35" s="20" t="e">
        <f t="shared" si="230"/>
        <v>#DIV/0!</v>
      </c>
      <c r="AU35" s="20" t="e">
        <f t="shared" si="230"/>
        <v>#DIV/0!</v>
      </c>
      <c r="AV35" s="20" t="e">
        <f t="shared" si="230"/>
        <v>#DIV/0!</v>
      </c>
      <c r="AW35" s="20" t="e">
        <f t="shared" si="230"/>
        <v>#DIV/0!</v>
      </c>
      <c r="AX35" s="20" t="e">
        <f t="shared" si="230"/>
        <v>#DIV/0!</v>
      </c>
      <c r="AY35" s="20" t="e">
        <f t="shared" si="230"/>
        <v>#DIV/0!</v>
      </c>
      <c r="AZ35" s="20" t="e">
        <f t="shared" si="230"/>
        <v>#DIV/0!</v>
      </c>
      <c r="BA35" s="20" t="e">
        <f t="shared" si="230"/>
        <v>#DIV/0!</v>
      </c>
      <c r="BB35" s="20" t="e">
        <f t="shared" si="230"/>
        <v>#DIV/0!</v>
      </c>
      <c r="BC35" s="20" t="e">
        <f t="shared" si="230"/>
        <v>#DIV/0!</v>
      </c>
      <c r="BD35" s="20" t="e">
        <f t="shared" si="230"/>
        <v>#DIV/0!</v>
      </c>
      <c r="BE35" s="20" t="e">
        <f t="shared" si="230"/>
        <v>#DIV/0!</v>
      </c>
      <c r="BF35" s="20" t="e">
        <f t="shared" si="230"/>
        <v>#DIV/0!</v>
      </c>
      <c r="BG35" s="20" t="e">
        <f t="shared" si="230"/>
        <v>#DIV/0!</v>
      </c>
      <c r="BH35" s="20" t="e">
        <f t="shared" si="230"/>
        <v>#DIV/0!</v>
      </c>
      <c r="BI35" s="20" t="e">
        <f t="shared" si="230"/>
        <v>#DIV/0!</v>
      </c>
      <c r="BJ35" s="20" t="e">
        <f t="shared" si="230"/>
        <v>#DIV/0!</v>
      </c>
      <c r="BK35" s="20" t="e">
        <f t="shared" si="230"/>
        <v>#DIV/0!</v>
      </c>
      <c r="BL35" s="20" t="e">
        <f t="shared" si="230"/>
        <v>#DIV/0!</v>
      </c>
      <c r="BM35" s="20" t="e">
        <f t="shared" si="230"/>
        <v>#DIV/0!</v>
      </c>
      <c r="BN35" s="20" t="e">
        <f t="shared" si="230"/>
        <v>#DIV/0!</v>
      </c>
      <c r="BO35" s="20" t="e">
        <f t="shared" si="230"/>
        <v>#DIV/0!</v>
      </c>
      <c r="BP35" s="20" t="e">
        <f t="shared" si="230"/>
        <v>#DIV/0!</v>
      </c>
      <c r="BQ35" s="20" t="e">
        <f t="shared" si="230"/>
        <v>#DIV/0!</v>
      </c>
      <c r="BR35" s="20" t="e">
        <f t="shared" ref="BR35:EC35" si="231">BR33/BR31</f>
        <v>#DIV/0!</v>
      </c>
      <c r="BS35" s="20" t="e">
        <f t="shared" si="231"/>
        <v>#DIV/0!</v>
      </c>
      <c r="BT35" s="20" t="e">
        <f t="shared" si="231"/>
        <v>#DIV/0!</v>
      </c>
      <c r="BU35" s="20" t="e">
        <f t="shared" si="231"/>
        <v>#DIV/0!</v>
      </c>
      <c r="BV35" s="20" t="e">
        <f t="shared" si="231"/>
        <v>#DIV/0!</v>
      </c>
      <c r="BW35" s="20" t="e">
        <f t="shared" si="231"/>
        <v>#DIV/0!</v>
      </c>
      <c r="BX35" s="20" t="e">
        <f t="shared" si="231"/>
        <v>#DIV/0!</v>
      </c>
      <c r="BY35" s="20" t="e">
        <f t="shared" si="231"/>
        <v>#DIV/0!</v>
      </c>
      <c r="BZ35" s="20" t="e">
        <f t="shared" si="231"/>
        <v>#DIV/0!</v>
      </c>
      <c r="CA35" s="20" t="e">
        <f t="shared" si="231"/>
        <v>#DIV/0!</v>
      </c>
      <c r="CB35" s="20" t="e">
        <f t="shared" si="231"/>
        <v>#DIV/0!</v>
      </c>
      <c r="CC35" s="20" t="e">
        <f t="shared" si="231"/>
        <v>#DIV/0!</v>
      </c>
      <c r="CD35" s="20" t="e">
        <f t="shared" si="231"/>
        <v>#DIV/0!</v>
      </c>
      <c r="CE35" s="20" t="e">
        <f t="shared" si="231"/>
        <v>#DIV/0!</v>
      </c>
      <c r="CF35" s="20" t="e">
        <f t="shared" si="231"/>
        <v>#DIV/0!</v>
      </c>
      <c r="CG35" s="20" t="e">
        <f t="shared" si="231"/>
        <v>#DIV/0!</v>
      </c>
      <c r="CH35" s="20" t="e">
        <f t="shared" si="231"/>
        <v>#DIV/0!</v>
      </c>
      <c r="CI35" s="20" t="e">
        <f t="shared" si="231"/>
        <v>#DIV/0!</v>
      </c>
      <c r="CJ35" s="20" t="e">
        <f t="shared" si="231"/>
        <v>#DIV/0!</v>
      </c>
      <c r="CK35" s="20" t="e">
        <f t="shared" si="231"/>
        <v>#DIV/0!</v>
      </c>
      <c r="CL35" s="20" t="e">
        <f t="shared" si="231"/>
        <v>#DIV/0!</v>
      </c>
      <c r="CM35" s="20" t="e">
        <f t="shared" si="231"/>
        <v>#DIV/0!</v>
      </c>
      <c r="CN35" s="20" t="e">
        <f t="shared" si="231"/>
        <v>#DIV/0!</v>
      </c>
      <c r="CO35" s="20" t="e">
        <f t="shared" si="231"/>
        <v>#DIV/0!</v>
      </c>
      <c r="CP35" s="20" t="e">
        <f t="shared" si="231"/>
        <v>#DIV/0!</v>
      </c>
      <c r="CQ35" s="20" t="e">
        <f t="shared" si="231"/>
        <v>#DIV/0!</v>
      </c>
      <c r="CR35" s="20" t="e">
        <f t="shared" si="231"/>
        <v>#DIV/0!</v>
      </c>
      <c r="CS35" s="20" t="e">
        <f t="shared" si="231"/>
        <v>#DIV/0!</v>
      </c>
      <c r="CT35" s="20" t="e">
        <f t="shared" si="231"/>
        <v>#DIV/0!</v>
      </c>
      <c r="CU35" s="20" t="e">
        <f t="shared" si="231"/>
        <v>#DIV/0!</v>
      </c>
      <c r="CV35" s="20" t="e">
        <f t="shared" si="231"/>
        <v>#DIV/0!</v>
      </c>
      <c r="CW35" s="20" t="e">
        <f t="shared" si="231"/>
        <v>#DIV/0!</v>
      </c>
      <c r="CX35" s="20" t="e">
        <f t="shared" si="231"/>
        <v>#DIV/0!</v>
      </c>
      <c r="CY35" s="20" t="e">
        <f t="shared" si="231"/>
        <v>#DIV/0!</v>
      </c>
      <c r="CZ35" s="20" t="e">
        <f t="shared" si="231"/>
        <v>#DIV/0!</v>
      </c>
      <c r="DA35" s="20" t="e">
        <f t="shared" si="231"/>
        <v>#DIV/0!</v>
      </c>
      <c r="DB35" s="20" t="e">
        <f t="shared" si="231"/>
        <v>#DIV/0!</v>
      </c>
      <c r="DC35" s="20" t="e">
        <f t="shared" si="231"/>
        <v>#DIV/0!</v>
      </c>
      <c r="DD35" s="20" t="e">
        <f t="shared" si="231"/>
        <v>#DIV/0!</v>
      </c>
      <c r="DE35" s="20" t="e">
        <f t="shared" si="231"/>
        <v>#DIV/0!</v>
      </c>
      <c r="DF35" s="20" t="e">
        <f t="shared" si="231"/>
        <v>#DIV/0!</v>
      </c>
      <c r="DG35" s="20" t="e">
        <f t="shared" si="231"/>
        <v>#DIV/0!</v>
      </c>
      <c r="DH35" s="20" t="e">
        <f t="shared" si="231"/>
        <v>#DIV/0!</v>
      </c>
      <c r="DI35" s="20" t="e">
        <f t="shared" si="231"/>
        <v>#DIV/0!</v>
      </c>
      <c r="DJ35" s="20" t="e">
        <f t="shared" si="231"/>
        <v>#DIV/0!</v>
      </c>
      <c r="DK35" s="20" t="e">
        <f t="shared" si="231"/>
        <v>#DIV/0!</v>
      </c>
      <c r="DL35" s="20" t="e">
        <f t="shared" si="231"/>
        <v>#DIV/0!</v>
      </c>
      <c r="DM35" s="20" t="e">
        <f t="shared" si="231"/>
        <v>#DIV/0!</v>
      </c>
      <c r="DN35" s="20" t="e">
        <f t="shared" si="231"/>
        <v>#DIV/0!</v>
      </c>
      <c r="DO35" s="20" t="e">
        <f t="shared" si="231"/>
        <v>#DIV/0!</v>
      </c>
      <c r="DP35" s="20" t="e">
        <f t="shared" si="231"/>
        <v>#DIV/0!</v>
      </c>
      <c r="DQ35" s="20" t="e">
        <f t="shared" si="231"/>
        <v>#DIV/0!</v>
      </c>
      <c r="DR35" s="20" t="e">
        <f t="shared" si="231"/>
        <v>#DIV/0!</v>
      </c>
      <c r="DS35" s="20" t="e">
        <f t="shared" si="231"/>
        <v>#DIV/0!</v>
      </c>
      <c r="DT35" s="20" t="e">
        <f t="shared" si="231"/>
        <v>#DIV/0!</v>
      </c>
      <c r="DU35" s="20" t="e">
        <f t="shared" si="231"/>
        <v>#DIV/0!</v>
      </c>
      <c r="DV35" s="20" t="e">
        <f t="shared" si="231"/>
        <v>#DIV/0!</v>
      </c>
      <c r="DW35" s="20" t="e">
        <f t="shared" si="231"/>
        <v>#DIV/0!</v>
      </c>
      <c r="DX35" s="20" t="e">
        <f t="shared" si="231"/>
        <v>#DIV/0!</v>
      </c>
      <c r="DY35" s="20" t="e">
        <f t="shared" si="231"/>
        <v>#DIV/0!</v>
      </c>
      <c r="DZ35" s="20" t="e">
        <f t="shared" si="231"/>
        <v>#DIV/0!</v>
      </c>
      <c r="EA35" s="20" t="e">
        <f t="shared" si="231"/>
        <v>#DIV/0!</v>
      </c>
      <c r="EB35" s="20" t="e">
        <f t="shared" si="231"/>
        <v>#DIV/0!</v>
      </c>
      <c r="EC35" s="20" t="e">
        <f t="shared" si="231"/>
        <v>#DIV/0!</v>
      </c>
      <c r="ED35" s="20" t="e">
        <f t="shared" ref="ED35:EY35" si="232">ED33/ED31</f>
        <v>#DIV/0!</v>
      </c>
      <c r="EE35" s="20" t="e">
        <f t="shared" si="232"/>
        <v>#DIV/0!</v>
      </c>
      <c r="EF35" s="20">
        <f t="shared" si="232"/>
        <v>1.25</v>
      </c>
      <c r="EG35" s="20">
        <f t="shared" si="232"/>
        <v>1.145875</v>
      </c>
      <c r="EH35" s="20">
        <f t="shared" si="232"/>
        <v>1.145875</v>
      </c>
      <c r="EI35" s="20">
        <f t="shared" si="232"/>
        <v>1.7600399999999998</v>
      </c>
      <c r="EJ35" s="20">
        <f t="shared" si="232"/>
        <v>1.0230372000000001</v>
      </c>
      <c r="EK35" s="20">
        <f t="shared" si="232"/>
        <v>0.98303719999999994</v>
      </c>
      <c r="EL35" s="20">
        <f t="shared" si="232"/>
        <v>0.94371571200000004</v>
      </c>
      <c r="EM35" s="20">
        <f t="shared" si="232"/>
        <v>0.94371571200000004</v>
      </c>
      <c r="EN35" s="20">
        <f t="shared" si="232"/>
        <v>1.3397157120000001</v>
      </c>
      <c r="EO35" s="20">
        <f t="shared" si="232"/>
        <v>1.0771443136000001</v>
      </c>
      <c r="EP35" s="20">
        <f t="shared" si="232"/>
        <v>1.0771443136000001</v>
      </c>
      <c r="EQ35" s="20">
        <f t="shared" si="232"/>
        <v>1.05878658816</v>
      </c>
      <c r="ER35" s="20">
        <f t="shared" si="232"/>
        <v>0.97473103933759997</v>
      </c>
      <c r="ES35" s="20">
        <f t="shared" si="232"/>
        <v>0.97473103933759997</v>
      </c>
      <c r="ET35" s="20">
        <f t="shared" si="232"/>
        <v>0.97473103933759997</v>
      </c>
      <c r="EU35" s="20">
        <f t="shared" si="232"/>
        <v>1</v>
      </c>
      <c r="EV35" s="20">
        <f t="shared" si="232"/>
        <v>1</v>
      </c>
      <c r="EW35" s="20">
        <f t="shared" si="232"/>
        <v>1</v>
      </c>
      <c r="EX35" s="20">
        <f t="shared" si="232"/>
        <v>1</v>
      </c>
      <c r="EY35" s="20" t="e">
        <f t="shared" si="232"/>
        <v>#DIV/0!</v>
      </c>
    </row>
    <row r="36" spans="1:155" hidden="1" outlineLevel="1" x14ac:dyDescent="0.3"/>
    <row r="37" spans="1:155" hidden="1" outlineLevel="1" x14ac:dyDescent="0.3">
      <c r="A37" s="36" t="s">
        <v>34</v>
      </c>
      <c r="B37" s="36" t="s">
        <v>29</v>
      </c>
      <c r="C37" s="37" t="s">
        <v>23</v>
      </c>
      <c r="D37" s="15" t="s">
        <v>13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</row>
    <row r="38" spans="1:155" hidden="1" outlineLevel="1" x14ac:dyDescent="0.3">
      <c r="A38" s="36"/>
      <c r="B38" s="36"/>
      <c r="C38" s="38"/>
      <c r="D38" s="15" t="s">
        <v>14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>
        <v>1</v>
      </c>
      <c r="BJ38" s="17">
        <v>1</v>
      </c>
      <c r="BK38" s="17">
        <v>2</v>
      </c>
      <c r="BL38" s="17">
        <v>2</v>
      </c>
      <c r="BM38" s="17">
        <v>2</v>
      </c>
      <c r="BN38" s="17">
        <v>2</v>
      </c>
      <c r="BO38" s="17">
        <v>2</v>
      </c>
      <c r="BP38" s="17">
        <v>2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</row>
    <row r="39" spans="1:155" hidden="1" outlineLevel="1" x14ac:dyDescent="0.3">
      <c r="A39" s="36"/>
      <c r="B39" s="36"/>
      <c r="C39" s="38"/>
      <c r="D39" s="15" t="s">
        <v>28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>
        <v>1</v>
      </c>
      <c r="BJ39" s="17">
        <v>1</v>
      </c>
      <c r="BK39" s="17">
        <v>2</v>
      </c>
      <c r="BL39" s="17">
        <v>2</v>
      </c>
      <c r="BM39" s="17">
        <v>2</v>
      </c>
      <c r="BN39" s="17">
        <v>2</v>
      </c>
      <c r="BO39" s="17">
        <v>2</v>
      </c>
      <c r="BP39" s="17">
        <v>2</v>
      </c>
      <c r="BQ39" s="17">
        <v>1</v>
      </c>
      <c r="BR39" s="17">
        <v>1</v>
      </c>
      <c r="BS39" s="17">
        <v>1</v>
      </c>
      <c r="BT39" s="17">
        <v>1</v>
      </c>
      <c r="BU39" s="17">
        <v>1</v>
      </c>
      <c r="BV39" s="17">
        <v>1</v>
      </c>
      <c r="BW39" s="17">
        <v>1</v>
      </c>
      <c r="BX39" s="17">
        <v>1</v>
      </c>
      <c r="BY39" s="17">
        <v>1</v>
      </c>
      <c r="BZ39" s="17">
        <v>1</v>
      </c>
      <c r="CA39" s="17">
        <v>1</v>
      </c>
      <c r="CB39" s="17">
        <v>1</v>
      </c>
      <c r="CC39" s="17">
        <v>1</v>
      </c>
      <c r="CD39" s="17">
        <v>1</v>
      </c>
      <c r="CE39" s="17">
        <v>1</v>
      </c>
      <c r="CF39" s="17">
        <v>1</v>
      </c>
      <c r="CG39" s="17">
        <v>1</v>
      </c>
      <c r="CH39" s="17">
        <v>1</v>
      </c>
      <c r="CI39" s="17">
        <v>1</v>
      </c>
      <c r="CJ39" s="17">
        <v>1</v>
      </c>
      <c r="CK39" s="17">
        <v>1</v>
      </c>
      <c r="CL39" s="17">
        <v>1</v>
      </c>
      <c r="CM39" s="17">
        <v>1</v>
      </c>
      <c r="CN39" s="17">
        <v>1</v>
      </c>
      <c r="CO39" s="17">
        <v>1</v>
      </c>
      <c r="CP39" s="17">
        <v>1</v>
      </c>
      <c r="CQ39" s="17">
        <v>1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</row>
    <row r="40" spans="1:155" hidden="1" outlineLevel="1" x14ac:dyDescent="0.3">
      <c r="A40" s="36"/>
      <c r="B40" s="36"/>
      <c r="C40" s="38"/>
      <c r="D40" s="15" t="s">
        <v>15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>
        <v>1</v>
      </c>
      <c r="BJ40" s="18">
        <v>1</v>
      </c>
      <c r="BK40" s="18">
        <v>2</v>
      </c>
      <c r="BL40" s="18">
        <v>2</v>
      </c>
      <c r="BM40" s="18">
        <v>2</v>
      </c>
      <c r="BN40" s="18">
        <v>2</v>
      </c>
      <c r="BO40" s="18">
        <v>2</v>
      </c>
      <c r="BP40" s="18">
        <v>2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</row>
    <row r="41" spans="1:155" hidden="1" outlineLevel="1" x14ac:dyDescent="0.3">
      <c r="A41" s="36"/>
      <c r="B41" s="36"/>
      <c r="C41" s="38"/>
      <c r="D41" s="15" t="s">
        <v>16</v>
      </c>
      <c r="E41" s="19" t="e">
        <f t="shared" ref="E41:BP41" si="233">E40/E37</f>
        <v>#DIV/0!</v>
      </c>
      <c r="F41" s="19" t="e">
        <f t="shared" si="233"/>
        <v>#DIV/0!</v>
      </c>
      <c r="G41" s="19" t="e">
        <f t="shared" si="233"/>
        <v>#DIV/0!</v>
      </c>
      <c r="H41" s="19" t="e">
        <f t="shared" si="233"/>
        <v>#DIV/0!</v>
      </c>
      <c r="I41" s="19" t="e">
        <f t="shared" si="233"/>
        <v>#DIV/0!</v>
      </c>
      <c r="J41" s="19" t="e">
        <f t="shared" si="233"/>
        <v>#DIV/0!</v>
      </c>
      <c r="K41" s="19" t="e">
        <f t="shared" si="233"/>
        <v>#DIV/0!</v>
      </c>
      <c r="L41" s="19" t="e">
        <f t="shared" si="233"/>
        <v>#DIV/0!</v>
      </c>
      <c r="M41" s="19" t="e">
        <f t="shared" si="233"/>
        <v>#DIV/0!</v>
      </c>
      <c r="N41" s="19" t="e">
        <f t="shared" si="233"/>
        <v>#DIV/0!</v>
      </c>
      <c r="O41" s="19" t="e">
        <f t="shared" si="233"/>
        <v>#DIV/0!</v>
      </c>
      <c r="P41" s="19" t="e">
        <f t="shared" si="233"/>
        <v>#DIV/0!</v>
      </c>
      <c r="Q41" s="19" t="e">
        <f t="shared" si="233"/>
        <v>#DIV/0!</v>
      </c>
      <c r="R41" s="19" t="e">
        <f t="shared" si="233"/>
        <v>#DIV/0!</v>
      </c>
      <c r="S41" s="19" t="e">
        <f t="shared" si="233"/>
        <v>#DIV/0!</v>
      </c>
      <c r="T41" s="19" t="e">
        <f t="shared" si="233"/>
        <v>#DIV/0!</v>
      </c>
      <c r="U41" s="19" t="e">
        <f t="shared" si="233"/>
        <v>#DIV/0!</v>
      </c>
      <c r="V41" s="19" t="e">
        <f t="shared" si="233"/>
        <v>#DIV/0!</v>
      </c>
      <c r="W41" s="19" t="e">
        <f t="shared" si="233"/>
        <v>#DIV/0!</v>
      </c>
      <c r="X41" s="19" t="e">
        <f t="shared" si="233"/>
        <v>#DIV/0!</v>
      </c>
      <c r="Y41" s="19" t="e">
        <f t="shared" si="233"/>
        <v>#DIV/0!</v>
      </c>
      <c r="Z41" s="19" t="e">
        <f t="shared" si="233"/>
        <v>#DIV/0!</v>
      </c>
      <c r="AA41" s="19" t="e">
        <f t="shared" si="233"/>
        <v>#DIV/0!</v>
      </c>
      <c r="AB41" s="19" t="e">
        <f t="shared" si="233"/>
        <v>#DIV/0!</v>
      </c>
      <c r="AC41" s="19" t="e">
        <f t="shared" si="233"/>
        <v>#DIV/0!</v>
      </c>
      <c r="AD41" s="19" t="e">
        <f t="shared" si="233"/>
        <v>#DIV/0!</v>
      </c>
      <c r="AE41" s="19" t="e">
        <f t="shared" si="233"/>
        <v>#DIV/0!</v>
      </c>
      <c r="AF41" s="19" t="e">
        <f t="shared" si="233"/>
        <v>#DIV/0!</v>
      </c>
      <c r="AG41" s="19" t="e">
        <f t="shared" si="233"/>
        <v>#DIV/0!</v>
      </c>
      <c r="AH41" s="19" t="e">
        <f t="shared" si="233"/>
        <v>#DIV/0!</v>
      </c>
      <c r="AI41" s="19" t="e">
        <f t="shared" si="233"/>
        <v>#DIV/0!</v>
      </c>
      <c r="AJ41" s="19" t="e">
        <f t="shared" si="233"/>
        <v>#DIV/0!</v>
      </c>
      <c r="AK41" s="19" t="e">
        <f t="shared" si="233"/>
        <v>#DIV/0!</v>
      </c>
      <c r="AL41" s="19" t="e">
        <f t="shared" si="233"/>
        <v>#DIV/0!</v>
      </c>
      <c r="AM41" s="19" t="e">
        <f t="shared" si="233"/>
        <v>#DIV/0!</v>
      </c>
      <c r="AN41" s="19" t="e">
        <f t="shared" si="233"/>
        <v>#DIV/0!</v>
      </c>
      <c r="AO41" s="19" t="e">
        <f t="shared" si="233"/>
        <v>#DIV/0!</v>
      </c>
      <c r="AP41" s="19" t="e">
        <f t="shared" si="233"/>
        <v>#DIV/0!</v>
      </c>
      <c r="AQ41" s="19" t="e">
        <f t="shared" si="233"/>
        <v>#DIV/0!</v>
      </c>
      <c r="AR41" s="19" t="e">
        <f t="shared" si="233"/>
        <v>#DIV/0!</v>
      </c>
      <c r="AS41" s="19" t="e">
        <f t="shared" si="233"/>
        <v>#DIV/0!</v>
      </c>
      <c r="AT41" s="19" t="e">
        <f t="shared" si="233"/>
        <v>#DIV/0!</v>
      </c>
      <c r="AU41" s="19" t="e">
        <f t="shared" si="233"/>
        <v>#DIV/0!</v>
      </c>
      <c r="AV41" s="19" t="e">
        <f t="shared" si="233"/>
        <v>#DIV/0!</v>
      </c>
      <c r="AW41" s="19" t="e">
        <f t="shared" si="233"/>
        <v>#DIV/0!</v>
      </c>
      <c r="AX41" s="19" t="e">
        <f t="shared" si="233"/>
        <v>#DIV/0!</v>
      </c>
      <c r="AY41" s="19" t="e">
        <f t="shared" si="233"/>
        <v>#DIV/0!</v>
      </c>
      <c r="AZ41" s="19" t="e">
        <f t="shared" si="233"/>
        <v>#DIV/0!</v>
      </c>
      <c r="BA41" s="19" t="e">
        <f t="shared" si="233"/>
        <v>#DIV/0!</v>
      </c>
      <c r="BB41" s="19" t="e">
        <f t="shared" si="233"/>
        <v>#DIV/0!</v>
      </c>
      <c r="BC41" s="19" t="e">
        <f t="shared" si="233"/>
        <v>#DIV/0!</v>
      </c>
      <c r="BD41" s="19" t="e">
        <f t="shared" si="233"/>
        <v>#DIV/0!</v>
      </c>
      <c r="BE41" s="19" t="e">
        <f t="shared" si="233"/>
        <v>#DIV/0!</v>
      </c>
      <c r="BF41" s="19" t="e">
        <f t="shared" si="233"/>
        <v>#DIV/0!</v>
      </c>
      <c r="BG41" s="19" t="e">
        <f t="shared" si="233"/>
        <v>#DIV/0!</v>
      </c>
      <c r="BH41" s="19" t="e">
        <f t="shared" si="233"/>
        <v>#DIV/0!</v>
      </c>
      <c r="BI41" s="19" t="e">
        <f t="shared" si="233"/>
        <v>#DIV/0!</v>
      </c>
      <c r="BJ41" s="19" t="e">
        <f t="shared" si="233"/>
        <v>#DIV/0!</v>
      </c>
      <c r="BK41" s="19" t="e">
        <f t="shared" si="233"/>
        <v>#DIV/0!</v>
      </c>
      <c r="BL41" s="19" t="e">
        <f t="shared" si="233"/>
        <v>#DIV/0!</v>
      </c>
      <c r="BM41" s="19" t="e">
        <f t="shared" si="233"/>
        <v>#DIV/0!</v>
      </c>
      <c r="BN41" s="19" t="e">
        <f t="shared" si="233"/>
        <v>#DIV/0!</v>
      </c>
      <c r="BO41" s="19" t="e">
        <f t="shared" si="233"/>
        <v>#DIV/0!</v>
      </c>
      <c r="BP41" s="19" t="e">
        <f t="shared" si="233"/>
        <v>#DIV/0!</v>
      </c>
      <c r="BQ41" s="19" t="e">
        <f t="shared" ref="BQ41:CW41" si="234">BQ40/BQ37</f>
        <v>#DIV/0!</v>
      </c>
      <c r="BR41" s="19" t="e">
        <f t="shared" si="234"/>
        <v>#DIV/0!</v>
      </c>
      <c r="BS41" s="19" t="e">
        <f t="shared" si="234"/>
        <v>#DIV/0!</v>
      </c>
      <c r="BT41" s="19" t="e">
        <f t="shared" si="234"/>
        <v>#DIV/0!</v>
      </c>
      <c r="BU41" s="19" t="e">
        <f t="shared" si="234"/>
        <v>#DIV/0!</v>
      </c>
      <c r="BV41" s="19" t="e">
        <f t="shared" si="234"/>
        <v>#DIV/0!</v>
      </c>
      <c r="BW41" s="19" t="e">
        <f t="shared" si="234"/>
        <v>#DIV/0!</v>
      </c>
      <c r="BX41" s="19" t="e">
        <f t="shared" si="234"/>
        <v>#DIV/0!</v>
      </c>
      <c r="BY41" s="19" t="e">
        <f t="shared" si="234"/>
        <v>#DIV/0!</v>
      </c>
      <c r="BZ41" s="19" t="e">
        <f t="shared" si="234"/>
        <v>#DIV/0!</v>
      </c>
      <c r="CA41" s="19" t="e">
        <f t="shared" si="234"/>
        <v>#DIV/0!</v>
      </c>
      <c r="CB41" s="19" t="e">
        <f t="shared" si="234"/>
        <v>#DIV/0!</v>
      </c>
      <c r="CC41" s="19" t="e">
        <f t="shared" si="234"/>
        <v>#DIV/0!</v>
      </c>
      <c r="CD41" s="19" t="e">
        <f t="shared" si="234"/>
        <v>#DIV/0!</v>
      </c>
      <c r="CE41" s="19" t="e">
        <f t="shared" si="234"/>
        <v>#DIV/0!</v>
      </c>
      <c r="CF41" s="19" t="e">
        <f t="shared" si="234"/>
        <v>#DIV/0!</v>
      </c>
      <c r="CG41" s="19" t="e">
        <f t="shared" si="234"/>
        <v>#DIV/0!</v>
      </c>
      <c r="CH41" s="19" t="e">
        <f t="shared" si="234"/>
        <v>#DIV/0!</v>
      </c>
      <c r="CI41" s="19" t="e">
        <f t="shared" si="234"/>
        <v>#DIV/0!</v>
      </c>
      <c r="CJ41" s="19" t="e">
        <f t="shared" si="234"/>
        <v>#DIV/0!</v>
      </c>
      <c r="CK41" s="19" t="e">
        <f t="shared" si="234"/>
        <v>#DIV/0!</v>
      </c>
      <c r="CL41" s="19" t="e">
        <f t="shared" si="234"/>
        <v>#DIV/0!</v>
      </c>
      <c r="CM41" s="19" t="e">
        <f t="shared" si="234"/>
        <v>#DIV/0!</v>
      </c>
      <c r="CN41" s="19" t="e">
        <f t="shared" si="234"/>
        <v>#DIV/0!</v>
      </c>
      <c r="CO41" s="19" t="e">
        <f t="shared" si="234"/>
        <v>#DIV/0!</v>
      </c>
      <c r="CP41" s="19" t="e">
        <f t="shared" si="234"/>
        <v>#DIV/0!</v>
      </c>
      <c r="CQ41" s="19" t="e">
        <f t="shared" si="234"/>
        <v>#DIV/0!</v>
      </c>
      <c r="CR41" s="19" t="e">
        <f t="shared" si="234"/>
        <v>#DIV/0!</v>
      </c>
      <c r="CS41" s="19" t="e">
        <f t="shared" si="234"/>
        <v>#DIV/0!</v>
      </c>
      <c r="CT41" s="19" t="e">
        <f t="shared" si="234"/>
        <v>#DIV/0!</v>
      </c>
      <c r="CU41" s="19" t="e">
        <f t="shared" si="234"/>
        <v>#DIV/0!</v>
      </c>
      <c r="CV41" s="19" t="e">
        <f t="shared" si="234"/>
        <v>#DIV/0!</v>
      </c>
      <c r="CW41" s="19" t="e">
        <f t="shared" si="234"/>
        <v>#DIV/0!</v>
      </c>
      <c r="CX41" s="19" t="e">
        <f t="shared" ref="CX41:CY41" si="235">CX40/CX37</f>
        <v>#DIV/0!</v>
      </c>
      <c r="CY41" s="19" t="e">
        <f t="shared" si="235"/>
        <v>#DIV/0!</v>
      </c>
      <c r="CZ41" s="19" t="e">
        <f t="shared" ref="CZ41:EV41" si="236">CZ40/CZ37</f>
        <v>#DIV/0!</v>
      </c>
      <c r="DA41" s="19" t="e">
        <f t="shared" si="236"/>
        <v>#DIV/0!</v>
      </c>
      <c r="DB41" s="19" t="e">
        <f t="shared" si="236"/>
        <v>#DIV/0!</v>
      </c>
      <c r="DC41" s="19" t="e">
        <f t="shared" si="236"/>
        <v>#DIV/0!</v>
      </c>
      <c r="DD41" s="19" t="e">
        <f t="shared" si="236"/>
        <v>#DIV/0!</v>
      </c>
      <c r="DE41" s="19" t="e">
        <f t="shared" si="236"/>
        <v>#DIV/0!</v>
      </c>
      <c r="DF41" s="19" t="e">
        <f t="shared" si="236"/>
        <v>#DIV/0!</v>
      </c>
      <c r="DG41" s="19" t="e">
        <f t="shared" si="236"/>
        <v>#DIV/0!</v>
      </c>
      <c r="DH41" s="19" t="e">
        <f t="shared" si="236"/>
        <v>#DIV/0!</v>
      </c>
      <c r="DI41" s="19" t="e">
        <f t="shared" si="236"/>
        <v>#DIV/0!</v>
      </c>
      <c r="DJ41" s="19" t="e">
        <f t="shared" si="236"/>
        <v>#DIV/0!</v>
      </c>
      <c r="DK41" s="19" t="e">
        <f t="shared" si="236"/>
        <v>#DIV/0!</v>
      </c>
      <c r="DL41" s="19" t="e">
        <f t="shared" si="236"/>
        <v>#DIV/0!</v>
      </c>
      <c r="DM41" s="19" t="e">
        <f t="shared" si="236"/>
        <v>#DIV/0!</v>
      </c>
      <c r="DN41" s="19" t="e">
        <f t="shared" si="236"/>
        <v>#DIV/0!</v>
      </c>
      <c r="DO41" s="19" t="e">
        <f t="shared" si="236"/>
        <v>#DIV/0!</v>
      </c>
      <c r="DP41" s="19" t="e">
        <f t="shared" si="236"/>
        <v>#DIV/0!</v>
      </c>
      <c r="DQ41" s="19" t="e">
        <f t="shared" si="236"/>
        <v>#DIV/0!</v>
      </c>
      <c r="DR41" s="19" t="e">
        <f t="shared" si="236"/>
        <v>#DIV/0!</v>
      </c>
      <c r="DS41" s="19" t="e">
        <f t="shared" si="236"/>
        <v>#DIV/0!</v>
      </c>
      <c r="DT41" s="19" t="e">
        <f t="shared" si="236"/>
        <v>#DIV/0!</v>
      </c>
      <c r="DU41" s="19" t="e">
        <f t="shared" si="236"/>
        <v>#DIV/0!</v>
      </c>
      <c r="DV41" s="19" t="e">
        <f t="shared" si="236"/>
        <v>#DIV/0!</v>
      </c>
      <c r="DW41" s="19" t="e">
        <f t="shared" si="236"/>
        <v>#DIV/0!</v>
      </c>
      <c r="DX41" s="19" t="e">
        <f t="shared" si="236"/>
        <v>#DIV/0!</v>
      </c>
      <c r="DY41" s="19" t="e">
        <f t="shared" si="236"/>
        <v>#DIV/0!</v>
      </c>
      <c r="DZ41" s="19" t="e">
        <f t="shared" si="236"/>
        <v>#DIV/0!</v>
      </c>
      <c r="EA41" s="19" t="e">
        <f t="shared" si="236"/>
        <v>#DIV/0!</v>
      </c>
      <c r="EB41" s="19" t="e">
        <f t="shared" si="236"/>
        <v>#DIV/0!</v>
      </c>
      <c r="EC41" s="19" t="e">
        <f t="shared" si="236"/>
        <v>#DIV/0!</v>
      </c>
      <c r="ED41" s="19" t="e">
        <f t="shared" si="236"/>
        <v>#DIV/0!</v>
      </c>
      <c r="EE41" s="19" t="e">
        <f t="shared" si="236"/>
        <v>#DIV/0!</v>
      </c>
      <c r="EF41" s="19" t="e">
        <f t="shared" si="236"/>
        <v>#DIV/0!</v>
      </c>
      <c r="EG41" s="19" t="e">
        <f t="shared" si="236"/>
        <v>#DIV/0!</v>
      </c>
      <c r="EH41" s="19" t="e">
        <f t="shared" si="236"/>
        <v>#DIV/0!</v>
      </c>
      <c r="EI41" s="19" t="e">
        <f t="shared" si="236"/>
        <v>#DIV/0!</v>
      </c>
      <c r="EJ41" s="19" t="e">
        <f t="shared" si="236"/>
        <v>#DIV/0!</v>
      </c>
      <c r="EK41" s="19" t="e">
        <f t="shared" si="236"/>
        <v>#DIV/0!</v>
      </c>
      <c r="EL41" s="19" t="e">
        <f t="shared" si="236"/>
        <v>#DIV/0!</v>
      </c>
      <c r="EM41" s="19" t="e">
        <f t="shared" si="236"/>
        <v>#DIV/0!</v>
      </c>
      <c r="EN41" s="19" t="e">
        <f t="shared" si="236"/>
        <v>#DIV/0!</v>
      </c>
      <c r="EO41" s="19" t="e">
        <f t="shared" si="236"/>
        <v>#DIV/0!</v>
      </c>
      <c r="EP41" s="19" t="e">
        <f t="shared" si="236"/>
        <v>#DIV/0!</v>
      </c>
      <c r="EQ41" s="19" t="e">
        <f t="shared" si="236"/>
        <v>#DIV/0!</v>
      </c>
      <c r="ER41" s="19" t="e">
        <f t="shared" si="236"/>
        <v>#DIV/0!</v>
      </c>
      <c r="ES41" s="19" t="e">
        <f t="shared" si="236"/>
        <v>#DIV/0!</v>
      </c>
      <c r="ET41" s="19" t="e">
        <f t="shared" si="236"/>
        <v>#DIV/0!</v>
      </c>
      <c r="EU41" s="19" t="e">
        <f t="shared" si="236"/>
        <v>#DIV/0!</v>
      </c>
      <c r="EV41" s="19" t="e">
        <f t="shared" si="236"/>
        <v>#DIV/0!</v>
      </c>
      <c r="EW41" s="19" t="e">
        <f t="shared" ref="EW41:EY41" si="237">EW40/EW37</f>
        <v>#DIV/0!</v>
      </c>
      <c r="EX41" s="19" t="e">
        <f t="shared" si="237"/>
        <v>#DIV/0!</v>
      </c>
      <c r="EY41" s="19" t="e">
        <f t="shared" si="237"/>
        <v>#DIV/0!</v>
      </c>
    </row>
    <row r="42" spans="1:155" hidden="1" outlineLevel="1" x14ac:dyDescent="0.3">
      <c r="A42" s="36"/>
      <c r="B42" s="36"/>
      <c r="C42" s="39"/>
      <c r="D42" s="15" t="s">
        <v>17</v>
      </c>
      <c r="E42" s="20" t="e">
        <f>E40/E38</f>
        <v>#DIV/0!</v>
      </c>
      <c r="F42" s="20" t="e">
        <f t="shared" ref="F42:BQ42" si="238">F40/F38</f>
        <v>#DIV/0!</v>
      </c>
      <c r="G42" s="20" t="e">
        <f t="shared" si="238"/>
        <v>#DIV/0!</v>
      </c>
      <c r="H42" s="20" t="e">
        <f t="shared" si="238"/>
        <v>#DIV/0!</v>
      </c>
      <c r="I42" s="20" t="e">
        <f t="shared" si="238"/>
        <v>#DIV/0!</v>
      </c>
      <c r="J42" s="20" t="e">
        <f t="shared" si="238"/>
        <v>#DIV/0!</v>
      </c>
      <c r="K42" s="20" t="e">
        <f t="shared" si="238"/>
        <v>#DIV/0!</v>
      </c>
      <c r="L42" s="20" t="e">
        <f t="shared" si="238"/>
        <v>#DIV/0!</v>
      </c>
      <c r="M42" s="20" t="e">
        <f t="shared" si="238"/>
        <v>#DIV/0!</v>
      </c>
      <c r="N42" s="20" t="e">
        <f t="shared" si="238"/>
        <v>#DIV/0!</v>
      </c>
      <c r="O42" s="20" t="e">
        <f t="shared" si="238"/>
        <v>#DIV/0!</v>
      </c>
      <c r="P42" s="20" t="e">
        <f t="shared" si="238"/>
        <v>#DIV/0!</v>
      </c>
      <c r="Q42" s="20" t="e">
        <f t="shared" si="238"/>
        <v>#DIV/0!</v>
      </c>
      <c r="R42" s="20" t="e">
        <f t="shared" si="238"/>
        <v>#DIV/0!</v>
      </c>
      <c r="S42" s="20" t="e">
        <f t="shared" si="238"/>
        <v>#DIV/0!</v>
      </c>
      <c r="T42" s="20" t="e">
        <f t="shared" si="238"/>
        <v>#DIV/0!</v>
      </c>
      <c r="U42" s="20" t="e">
        <f t="shared" si="238"/>
        <v>#DIV/0!</v>
      </c>
      <c r="V42" s="20" t="e">
        <f t="shared" si="238"/>
        <v>#DIV/0!</v>
      </c>
      <c r="W42" s="20" t="e">
        <f t="shared" si="238"/>
        <v>#DIV/0!</v>
      </c>
      <c r="X42" s="20" t="e">
        <f t="shared" si="238"/>
        <v>#DIV/0!</v>
      </c>
      <c r="Y42" s="20" t="e">
        <f t="shared" si="238"/>
        <v>#DIV/0!</v>
      </c>
      <c r="Z42" s="20" t="e">
        <f t="shared" si="238"/>
        <v>#DIV/0!</v>
      </c>
      <c r="AA42" s="20" t="e">
        <f t="shared" si="238"/>
        <v>#DIV/0!</v>
      </c>
      <c r="AB42" s="20" t="e">
        <f t="shared" si="238"/>
        <v>#DIV/0!</v>
      </c>
      <c r="AC42" s="20" t="e">
        <f t="shared" si="238"/>
        <v>#DIV/0!</v>
      </c>
      <c r="AD42" s="20" t="e">
        <f t="shared" si="238"/>
        <v>#DIV/0!</v>
      </c>
      <c r="AE42" s="20" t="e">
        <f t="shared" si="238"/>
        <v>#DIV/0!</v>
      </c>
      <c r="AF42" s="20" t="e">
        <f t="shared" si="238"/>
        <v>#DIV/0!</v>
      </c>
      <c r="AG42" s="20" t="e">
        <f t="shared" si="238"/>
        <v>#DIV/0!</v>
      </c>
      <c r="AH42" s="20" t="e">
        <f t="shared" si="238"/>
        <v>#DIV/0!</v>
      </c>
      <c r="AI42" s="20" t="e">
        <f t="shared" si="238"/>
        <v>#DIV/0!</v>
      </c>
      <c r="AJ42" s="20" t="e">
        <f t="shared" si="238"/>
        <v>#DIV/0!</v>
      </c>
      <c r="AK42" s="20" t="e">
        <f t="shared" si="238"/>
        <v>#DIV/0!</v>
      </c>
      <c r="AL42" s="20" t="e">
        <f t="shared" si="238"/>
        <v>#DIV/0!</v>
      </c>
      <c r="AM42" s="20" t="e">
        <f t="shared" si="238"/>
        <v>#DIV/0!</v>
      </c>
      <c r="AN42" s="20" t="e">
        <f t="shared" si="238"/>
        <v>#DIV/0!</v>
      </c>
      <c r="AO42" s="20" t="e">
        <f t="shared" si="238"/>
        <v>#DIV/0!</v>
      </c>
      <c r="AP42" s="20" t="e">
        <f t="shared" si="238"/>
        <v>#DIV/0!</v>
      </c>
      <c r="AQ42" s="20" t="e">
        <f t="shared" si="238"/>
        <v>#DIV/0!</v>
      </c>
      <c r="AR42" s="20" t="e">
        <f t="shared" si="238"/>
        <v>#DIV/0!</v>
      </c>
      <c r="AS42" s="20" t="e">
        <f t="shared" si="238"/>
        <v>#DIV/0!</v>
      </c>
      <c r="AT42" s="20" t="e">
        <f t="shared" si="238"/>
        <v>#DIV/0!</v>
      </c>
      <c r="AU42" s="20" t="e">
        <f t="shared" si="238"/>
        <v>#DIV/0!</v>
      </c>
      <c r="AV42" s="20" t="e">
        <f t="shared" si="238"/>
        <v>#DIV/0!</v>
      </c>
      <c r="AW42" s="20" t="e">
        <f t="shared" si="238"/>
        <v>#DIV/0!</v>
      </c>
      <c r="AX42" s="20" t="e">
        <f t="shared" si="238"/>
        <v>#DIV/0!</v>
      </c>
      <c r="AY42" s="20" t="e">
        <f t="shared" si="238"/>
        <v>#DIV/0!</v>
      </c>
      <c r="AZ42" s="20" t="e">
        <f t="shared" si="238"/>
        <v>#DIV/0!</v>
      </c>
      <c r="BA42" s="20" t="e">
        <f t="shared" si="238"/>
        <v>#DIV/0!</v>
      </c>
      <c r="BB42" s="20" t="e">
        <f t="shared" si="238"/>
        <v>#DIV/0!</v>
      </c>
      <c r="BC42" s="20" t="e">
        <f t="shared" si="238"/>
        <v>#DIV/0!</v>
      </c>
      <c r="BD42" s="20" t="e">
        <f t="shared" si="238"/>
        <v>#DIV/0!</v>
      </c>
      <c r="BE42" s="20" t="e">
        <f t="shared" si="238"/>
        <v>#DIV/0!</v>
      </c>
      <c r="BF42" s="20" t="e">
        <f t="shared" si="238"/>
        <v>#DIV/0!</v>
      </c>
      <c r="BG42" s="20" t="e">
        <f t="shared" si="238"/>
        <v>#DIV/0!</v>
      </c>
      <c r="BH42" s="20" t="e">
        <f t="shared" si="238"/>
        <v>#DIV/0!</v>
      </c>
      <c r="BI42" s="20">
        <f t="shared" si="238"/>
        <v>1</v>
      </c>
      <c r="BJ42" s="20">
        <f t="shared" si="238"/>
        <v>1</v>
      </c>
      <c r="BK42" s="20">
        <f t="shared" si="238"/>
        <v>1</v>
      </c>
      <c r="BL42" s="20">
        <f t="shared" si="238"/>
        <v>1</v>
      </c>
      <c r="BM42" s="20">
        <f t="shared" si="238"/>
        <v>1</v>
      </c>
      <c r="BN42" s="20">
        <f t="shared" si="238"/>
        <v>1</v>
      </c>
      <c r="BO42" s="20">
        <f t="shared" si="238"/>
        <v>1</v>
      </c>
      <c r="BP42" s="20">
        <f t="shared" si="238"/>
        <v>1</v>
      </c>
      <c r="BQ42" s="20">
        <f t="shared" si="238"/>
        <v>1</v>
      </c>
      <c r="BR42" s="20">
        <f t="shared" ref="BR42:CW42" si="239">BR40/BR38</f>
        <v>1</v>
      </c>
      <c r="BS42" s="20">
        <f t="shared" si="239"/>
        <v>1</v>
      </c>
      <c r="BT42" s="20">
        <f t="shared" si="239"/>
        <v>1</v>
      </c>
      <c r="BU42" s="20">
        <f t="shared" si="239"/>
        <v>1</v>
      </c>
      <c r="BV42" s="20">
        <f t="shared" si="239"/>
        <v>1</v>
      </c>
      <c r="BW42" s="20">
        <f t="shared" si="239"/>
        <v>1</v>
      </c>
      <c r="BX42" s="20">
        <f t="shared" si="239"/>
        <v>1</v>
      </c>
      <c r="BY42" s="20">
        <f t="shared" si="239"/>
        <v>1</v>
      </c>
      <c r="BZ42" s="20">
        <f t="shared" si="239"/>
        <v>1</v>
      </c>
      <c r="CA42" s="20">
        <f t="shared" si="239"/>
        <v>1</v>
      </c>
      <c r="CB42" s="20">
        <f t="shared" si="239"/>
        <v>1</v>
      </c>
      <c r="CC42" s="20">
        <f t="shared" si="239"/>
        <v>1</v>
      </c>
      <c r="CD42" s="20">
        <f t="shared" si="239"/>
        <v>1</v>
      </c>
      <c r="CE42" s="20">
        <f t="shared" si="239"/>
        <v>1</v>
      </c>
      <c r="CF42" s="20">
        <f t="shared" si="239"/>
        <v>1</v>
      </c>
      <c r="CG42" s="20">
        <f t="shared" si="239"/>
        <v>1</v>
      </c>
      <c r="CH42" s="20">
        <f t="shared" si="239"/>
        <v>1</v>
      </c>
      <c r="CI42" s="20">
        <f t="shared" si="239"/>
        <v>1</v>
      </c>
      <c r="CJ42" s="20">
        <f t="shared" si="239"/>
        <v>1</v>
      </c>
      <c r="CK42" s="20">
        <f t="shared" si="239"/>
        <v>1</v>
      </c>
      <c r="CL42" s="20">
        <f t="shared" si="239"/>
        <v>1</v>
      </c>
      <c r="CM42" s="20">
        <f t="shared" si="239"/>
        <v>1</v>
      </c>
      <c r="CN42" s="20">
        <f t="shared" si="239"/>
        <v>1</v>
      </c>
      <c r="CO42" s="20">
        <f t="shared" si="239"/>
        <v>1</v>
      </c>
      <c r="CP42" s="20">
        <f t="shared" si="239"/>
        <v>1</v>
      </c>
      <c r="CQ42" s="20">
        <f t="shared" si="239"/>
        <v>1</v>
      </c>
      <c r="CR42" s="20" t="e">
        <f t="shared" si="239"/>
        <v>#DIV/0!</v>
      </c>
      <c r="CS42" s="20" t="e">
        <f t="shared" si="239"/>
        <v>#DIV/0!</v>
      </c>
      <c r="CT42" s="20" t="e">
        <f t="shared" si="239"/>
        <v>#DIV/0!</v>
      </c>
      <c r="CU42" s="20" t="e">
        <f t="shared" si="239"/>
        <v>#DIV/0!</v>
      </c>
      <c r="CV42" s="20" t="e">
        <f t="shared" si="239"/>
        <v>#DIV/0!</v>
      </c>
      <c r="CW42" s="20" t="e">
        <f t="shared" si="239"/>
        <v>#DIV/0!</v>
      </c>
      <c r="CX42" s="20" t="e">
        <f t="shared" ref="CX42:CY42" si="240">CX40/CX38</f>
        <v>#DIV/0!</v>
      </c>
      <c r="CY42" s="20" t="e">
        <f t="shared" si="240"/>
        <v>#DIV/0!</v>
      </c>
      <c r="CZ42" s="20" t="e">
        <f t="shared" ref="CZ42:EV42" si="241">CZ40/CZ38</f>
        <v>#DIV/0!</v>
      </c>
      <c r="DA42" s="20" t="e">
        <f t="shared" si="241"/>
        <v>#DIV/0!</v>
      </c>
      <c r="DB42" s="20" t="e">
        <f t="shared" si="241"/>
        <v>#DIV/0!</v>
      </c>
      <c r="DC42" s="20" t="e">
        <f t="shared" si="241"/>
        <v>#DIV/0!</v>
      </c>
      <c r="DD42" s="20" t="e">
        <f t="shared" si="241"/>
        <v>#DIV/0!</v>
      </c>
      <c r="DE42" s="20" t="e">
        <f t="shared" si="241"/>
        <v>#DIV/0!</v>
      </c>
      <c r="DF42" s="20" t="e">
        <f t="shared" si="241"/>
        <v>#DIV/0!</v>
      </c>
      <c r="DG42" s="20" t="e">
        <f t="shared" si="241"/>
        <v>#DIV/0!</v>
      </c>
      <c r="DH42" s="20" t="e">
        <f t="shared" si="241"/>
        <v>#DIV/0!</v>
      </c>
      <c r="DI42" s="20" t="e">
        <f t="shared" si="241"/>
        <v>#DIV/0!</v>
      </c>
      <c r="DJ42" s="20" t="e">
        <f t="shared" si="241"/>
        <v>#DIV/0!</v>
      </c>
      <c r="DK42" s="20" t="e">
        <f t="shared" si="241"/>
        <v>#DIV/0!</v>
      </c>
      <c r="DL42" s="20" t="e">
        <f t="shared" si="241"/>
        <v>#DIV/0!</v>
      </c>
      <c r="DM42" s="20" t="e">
        <f t="shared" si="241"/>
        <v>#DIV/0!</v>
      </c>
      <c r="DN42" s="20" t="e">
        <f t="shared" si="241"/>
        <v>#DIV/0!</v>
      </c>
      <c r="DO42" s="20" t="e">
        <f t="shared" si="241"/>
        <v>#DIV/0!</v>
      </c>
      <c r="DP42" s="20" t="e">
        <f t="shared" si="241"/>
        <v>#DIV/0!</v>
      </c>
      <c r="DQ42" s="20" t="e">
        <f t="shared" si="241"/>
        <v>#DIV/0!</v>
      </c>
      <c r="DR42" s="20" t="e">
        <f t="shared" si="241"/>
        <v>#DIV/0!</v>
      </c>
      <c r="DS42" s="20" t="e">
        <f t="shared" si="241"/>
        <v>#DIV/0!</v>
      </c>
      <c r="DT42" s="20" t="e">
        <f t="shared" si="241"/>
        <v>#DIV/0!</v>
      </c>
      <c r="DU42" s="20" t="e">
        <f t="shared" si="241"/>
        <v>#DIV/0!</v>
      </c>
      <c r="DV42" s="20" t="e">
        <f t="shared" si="241"/>
        <v>#DIV/0!</v>
      </c>
      <c r="DW42" s="20" t="e">
        <f t="shared" si="241"/>
        <v>#DIV/0!</v>
      </c>
      <c r="DX42" s="20" t="e">
        <f t="shared" si="241"/>
        <v>#DIV/0!</v>
      </c>
      <c r="DY42" s="20" t="e">
        <f t="shared" si="241"/>
        <v>#DIV/0!</v>
      </c>
      <c r="DZ42" s="20" t="e">
        <f t="shared" si="241"/>
        <v>#DIV/0!</v>
      </c>
      <c r="EA42" s="20" t="e">
        <f t="shared" si="241"/>
        <v>#DIV/0!</v>
      </c>
      <c r="EB42" s="20" t="e">
        <f t="shared" si="241"/>
        <v>#DIV/0!</v>
      </c>
      <c r="EC42" s="20" t="e">
        <f t="shared" si="241"/>
        <v>#DIV/0!</v>
      </c>
      <c r="ED42" s="20" t="e">
        <f t="shared" si="241"/>
        <v>#DIV/0!</v>
      </c>
      <c r="EE42" s="20" t="e">
        <f t="shared" si="241"/>
        <v>#DIV/0!</v>
      </c>
      <c r="EF42" s="20" t="e">
        <f t="shared" si="241"/>
        <v>#DIV/0!</v>
      </c>
      <c r="EG42" s="20" t="e">
        <f t="shared" si="241"/>
        <v>#DIV/0!</v>
      </c>
      <c r="EH42" s="20" t="e">
        <f t="shared" si="241"/>
        <v>#DIV/0!</v>
      </c>
      <c r="EI42" s="20" t="e">
        <f t="shared" si="241"/>
        <v>#DIV/0!</v>
      </c>
      <c r="EJ42" s="20" t="e">
        <f t="shared" si="241"/>
        <v>#DIV/0!</v>
      </c>
      <c r="EK42" s="20" t="e">
        <f t="shared" si="241"/>
        <v>#DIV/0!</v>
      </c>
      <c r="EL42" s="20" t="e">
        <f t="shared" si="241"/>
        <v>#DIV/0!</v>
      </c>
      <c r="EM42" s="20" t="e">
        <f t="shared" si="241"/>
        <v>#DIV/0!</v>
      </c>
      <c r="EN42" s="20" t="e">
        <f t="shared" si="241"/>
        <v>#DIV/0!</v>
      </c>
      <c r="EO42" s="20" t="e">
        <f t="shared" si="241"/>
        <v>#DIV/0!</v>
      </c>
      <c r="EP42" s="20" t="e">
        <f t="shared" si="241"/>
        <v>#DIV/0!</v>
      </c>
      <c r="EQ42" s="20" t="e">
        <f t="shared" si="241"/>
        <v>#DIV/0!</v>
      </c>
      <c r="ER42" s="20" t="e">
        <f t="shared" si="241"/>
        <v>#DIV/0!</v>
      </c>
      <c r="ES42" s="20" t="e">
        <f t="shared" si="241"/>
        <v>#DIV/0!</v>
      </c>
      <c r="ET42" s="20" t="e">
        <f t="shared" si="241"/>
        <v>#DIV/0!</v>
      </c>
      <c r="EU42" s="20" t="e">
        <f t="shared" si="241"/>
        <v>#DIV/0!</v>
      </c>
      <c r="EV42" s="20" t="e">
        <f t="shared" si="241"/>
        <v>#DIV/0!</v>
      </c>
      <c r="EW42" s="20" t="e">
        <f t="shared" ref="EW42:EY42" si="242">EW40/EW38</f>
        <v>#DIV/0!</v>
      </c>
      <c r="EX42" s="20" t="e">
        <f t="shared" si="242"/>
        <v>#DIV/0!</v>
      </c>
      <c r="EY42" s="20" t="e">
        <f t="shared" si="242"/>
        <v>#DIV/0!</v>
      </c>
    </row>
    <row r="43" spans="1:155" hidden="1" outlineLevel="1" x14ac:dyDescent="0.3"/>
    <row r="44" spans="1:155" hidden="1" outlineLevel="1" x14ac:dyDescent="0.3">
      <c r="A44" s="36" t="s">
        <v>30</v>
      </c>
      <c r="B44" s="36" t="s">
        <v>30</v>
      </c>
      <c r="C44" s="37" t="s">
        <v>23</v>
      </c>
      <c r="D44" s="15" t="s">
        <v>13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</row>
    <row r="45" spans="1:155" hidden="1" outlineLevel="1" x14ac:dyDescent="0.3">
      <c r="A45" s="36"/>
      <c r="B45" s="36"/>
      <c r="C45" s="38"/>
      <c r="D45" s="15" t="s">
        <v>14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21">
        <v>3</v>
      </c>
      <c r="BY45" s="21">
        <v>15</v>
      </c>
      <c r="BZ45" s="21">
        <v>15</v>
      </c>
      <c r="CA45" s="21">
        <v>15</v>
      </c>
      <c r="CB45" s="21">
        <v>12</v>
      </c>
      <c r="CC45" s="21">
        <v>10</v>
      </c>
      <c r="CD45" s="21">
        <v>10</v>
      </c>
      <c r="CE45" s="21">
        <v>10</v>
      </c>
      <c r="CF45" s="21">
        <v>10</v>
      </c>
      <c r="CG45" s="21">
        <v>10</v>
      </c>
      <c r="CH45" s="21">
        <v>10</v>
      </c>
      <c r="CI45" s="21">
        <v>10</v>
      </c>
      <c r="CJ45" s="21">
        <v>12</v>
      </c>
      <c r="CK45" s="21">
        <v>10</v>
      </c>
      <c r="CL45" s="21">
        <v>9</v>
      </c>
      <c r="CM45" s="21">
        <v>9</v>
      </c>
      <c r="CN45" s="21">
        <v>9</v>
      </c>
      <c r="CO45" s="21">
        <v>9</v>
      </c>
      <c r="CP45" s="21">
        <v>9</v>
      </c>
      <c r="CQ45" s="17">
        <v>9</v>
      </c>
      <c r="CR45" s="17">
        <v>9</v>
      </c>
      <c r="CS45" s="17">
        <v>9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</row>
    <row r="46" spans="1:155" hidden="1" outlineLevel="1" x14ac:dyDescent="0.3">
      <c r="A46" s="36"/>
      <c r="B46" s="36"/>
      <c r="C46" s="38"/>
      <c r="D46" s="15" t="s">
        <v>28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21">
        <v>3.8600000000000003</v>
      </c>
      <c r="BY46" s="21">
        <v>10</v>
      </c>
      <c r="BZ46" s="21">
        <v>10</v>
      </c>
      <c r="CA46" s="21">
        <v>9</v>
      </c>
      <c r="CB46" s="21">
        <v>15</v>
      </c>
      <c r="CC46" s="21">
        <v>11.86</v>
      </c>
      <c r="CD46" s="21">
        <v>10.86</v>
      </c>
      <c r="CE46" s="21">
        <v>12</v>
      </c>
      <c r="CF46" s="21">
        <v>12</v>
      </c>
      <c r="CG46" s="21">
        <v>12</v>
      </c>
      <c r="CH46" s="21">
        <v>12</v>
      </c>
      <c r="CI46" s="21">
        <v>10</v>
      </c>
      <c r="CJ46" s="21">
        <v>8</v>
      </c>
      <c r="CK46" s="21">
        <v>10</v>
      </c>
      <c r="CL46" s="21">
        <v>9</v>
      </c>
      <c r="CM46" s="21">
        <v>9</v>
      </c>
      <c r="CN46" s="21">
        <v>9</v>
      </c>
      <c r="CO46" s="21">
        <v>9</v>
      </c>
      <c r="CP46" s="17">
        <v>9</v>
      </c>
      <c r="CQ46" s="17">
        <v>9</v>
      </c>
      <c r="CR46" s="17">
        <v>9</v>
      </c>
      <c r="CS46" s="17">
        <v>9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</row>
    <row r="47" spans="1:155" hidden="1" outlineLevel="1" x14ac:dyDescent="0.3">
      <c r="A47" s="36"/>
      <c r="B47" s="36"/>
      <c r="C47" s="38"/>
      <c r="D47" s="15" t="s">
        <v>15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22">
        <f>BX46</f>
        <v>3.8600000000000003</v>
      </c>
      <c r="BY47" s="22">
        <f t="shared" ref="BY47:CW47" si="243">BY46</f>
        <v>10</v>
      </c>
      <c r="BZ47" s="22">
        <f t="shared" si="243"/>
        <v>10</v>
      </c>
      <c r="CA47" s="22">
        <f t="shared" si="243"/>
        <v>9</v>
      </c>
      <c r="CB47" s="22">
        <f t="shared" si="243"/>
        <v>15</v>
      </c>
      <c r="CC47" s="22">
        <f t="shared" si="243"/>
        <v>11.86</v>
      </c>
      <c r="CD47" s="22">
        <f t="shared" si="243"/>
        <v>10.86</v>
      </c>
      <c r="CE47" s="22">
        <f t="shared" si="243"/>
        <v>12</v>
      </c>
      <c r="CF47" s="22">
        <f t="shared" si="243"/>
        <v>12</v>
      </c>
      <c r="CG47" s="22">
        <f t="shared" si="243"/>
        <v>12</v>
      </c>
      <c r="CH47" s="22">
        <f t="shared" si="243"/>
        <v>12</v>
      </c>
      <c r="CI47" s="22">
        <f t="shared" si="243"/>
        <v>10</v>
      </c>
      <c r="CJ47" s="22">
        <f t="shared" si="243"/>
        <v>8</v>
      </c>
      <c r="CK47" s="22">
        <f t="shared" si="243"/>
        <v>10</v>
      </c>
      <c r="CL47" s="22">
        <f t="shared" si="243"/>
        <v>9</v>
      </c>
      <c r="CM47" s="22">
        <f t="shared" si="243"/>
        <v>9</v>
      </c>
      <c r="CN47" s="22">
        <f t="shared" si="243"/>
        <v>9</v>
      </c>
      <c r="CO47" s="22">
        <f t="shared" si="243"/>
        <v>9</v>
      </c>
      <c r="CP47" s="22">
        <f t="shared" si="243"/>
        <v>9</v>
      </c>
      <c r="CQ47" s="22">
        <f t="shared" si="243"/>
        <v>9</v>
      </c>
      <c r="CR47" s="22">
        <f t="shared" si="243"/>
        <v>9</v>
      </c>
      <c r="CS47" s="22">
        <f t="shared" si="243"/>
        <v>9</v>
      </c>
      <c r="CT47" s="22">
        <f t="shared" si="243"/>
        <v>0</v>
      </c>
      <c r="CU47" s="22">
        <f t="shared" si="243"/>
        <v>0</v>
      </c>
      <c r="CV47" s="22">
        <f t="shared" si="243"/>
        <v>0</v>
      </c>
      <c r="CW47" s="22">
        <f t="shared" si="243"/>
        <v>0</v>
      </c>
      <c r="CX47" s="22">
        <f t="shared" ref="CX47:CY47" si="244">CX46</f>
        <v>0</v>
      </c>
      <c r="CY47" s="22">
        <f t="shared" si="244"/>
        <v>0</v>
      </c>
      <c r="CZ47" s="22">
        <f t="shared" ref="CZ47:EV47" si="245">CZ46</f>
        <v>0</v>
      </c>
      <c r="DA47" s="22">
        <f t="shared" si="245"/>
        <v>0</v>
      </c>
      <c r="DB47" s="22">
        <f t="shared" si="245"/>
        <v>0</v>
      </c>
      <c r="DC47" s="22">
        <f t="shared" si="245"/>
        <v>0</v>
      </c>
      <c r="DD47" s="22">
        <f t="shared" si="245"/>
        <v>0</v>
      </c>
      <c r="DE47" s="22">
        <f t="shared" si="245"/>
        <v>0</v>
      </c>
      <c r="DF47" s="22">
        <f t="shared" si="245"/>
        <v>0</v>
      </c>
      <c r="DG47" s="22">
        <f t="shared" si="245"/>
        <v>0</v>
      </c>
      <c r="DH47" s="22">
        <f t="shared" si="245"/>
        <v>0</v>
      </c>
      <c r="DI47" s="22">
        <f t="shared" si="245"/>
        <v>0</v>
      </c>
      <c r="DJ47" s="22">
        <f t="shared" si="245"/>
        <v>0</v>
      </c>
      <c r="DK47" s="22">
        <f t="shared" si="245"/>
        <v>0</v>
      </c>
      <c r="DL47" s="22">
        <f t="shared" si="245"/>
        <v>0</v>
      </c>
      <c r="DM47" s="22">
        <f t="shared" si="245"/>
        <v>0</v>
      </c>
      <c r="DN47" s="22">
        <f t="shared" si="245"/>
        <v>0</v>
      </c>
      <c r="DO47" s="22">
        <f t="shared" si="245"/>
        <v>0</v>
      </c>
      <c r="DP47" s="22">
        <f t="shared" si="245"/>
        <v>0</v>
      </c>
      <c r="DQ47" s="22">
        <f t="shared" si="245"/>
        <v>0</v>
      </c>
      <c r="DR47" s="22">
        <f t="shared" si="245"/>
        <v>0</v>
      </c>
      <c r="DS47" s="22">
        <f t="shared" si="245"/>
        <v>0</v>
      </c>
      <c r="DT47" s="22">
        <f t="shared" si="245"/>
        <v>0</v>
      </c>
      <c r="DU47" s="22">
        <f t="shared" si="245"/>
        <v>0</v>
      </c>
      <c r="DV47" s="22">
        <f t="shared" si="245"/>
        <v>0</v>
      </c>
      <c r="DW47" s="22">
        <f t="shared" si="245"/>
        <v>0</v>
      </c>
      <c r="DX47" s="22">
        <f t="shared" si="245"/>
        <v>0</v>
      </c>
      <c r="DY47" s="22">
        <f t="shared" si="245"/>
        <v>0</v>
      </c>
      <c r="DZ47" s="22">
        <f t="shared" si="245"/>
        <v>0</v>
      </c>
      <c r="EA47" s="22">
        <f t="shared" si="245"/>
        <v>0</v>
      </c>
      <c r="EB47" s="22">
        <f t="shared" si="245"/>
        <v>0</v>
      </c>
      <c r="EC47" s="22">
        <f t="shared" si="245"/>
        <v>0</v>
      </c>
      <c r="ED47" s="22">
        <f t="shared" si="245"/>
        <v>0</v>
      </c>
      <c r="EE47" s="22">
        <f t="shared" si="245"/>
        <v>0</v>
      </c>
      <c r="EF47" s="22">
        <f t="shared" si="245"/>
        <v>0</v>
      </c>
      <c r="EG47" s="22">
        <f t="shared" si="245"/>
        <v>0</v>
      </c>
      <c r="EH47" s="22">
        <f t="shared" si="245"/>
        <v>0</v>
      </c>
      <c r="EI47" s="22">
        <f t="shared" si="245"/>
        <v>0</v>
      </c>
      <c r="EJ47" s="22">
        <f t="shared" si="245"/>
        <v>0</v>
      </c>
      <c r="EK47" s="22">
        <f t="shared" si="245"/>
        <v>0</v>
      </c>
      <c r="EL47" s="22">
        <f t="shared" si="245"/>
        <v>0</v>
      </c>
      <c r="EM47" s="22">
        <f t="shared" si="245"/>
        <v>0</v>
      </c>
      <c r="EN47" s="22">
        <f t="shared" si="245"/>
        <v>0</v>
      </c>
      <c r="EO47" s="22">
        <f t="shared" si="245"/>
        <v>0</v>
      </c>
      <c r="EP47" s="22">
        <f t="shared" si="245"/>
        <v>0</v>
      </c>
      <c r="EQ47" s="22">
        <f t="shared" si="245"/>
        <v>0</v>
      </c>
      <c r="ER47" s="22">
        <f t="shared" si="245"/>
        <v>0</v>
      </c>
      <c r="ES47" s="22">
        <f t="shared" si="245"/>
        <v>0</v>
      </c>
      <c r="ET47" s="22">
        <f t="shared" si="245"/>
        <v>0</v>
      </c>
      <c r="EU47" s="22">
        <f t="shared" si="245"/>
        <v>0</v>
      </c>
      <c r="EV47" s="22">
        <f t="shared" si="245"/>
        <v>0</v>
      </c>
      <c r="EW47" s="22">
        <f t="shared" ref="EW47:EY47" si="246">EW46</f>
        <v>0</v>
      </c>
      <c r="EX47" s="22">
        <f t="shared" si="246"/>
        <v>0</v>
      </c>
      <c r="EY47" s="22">
        <f t="shared" si="246"/>
        <v>0</v>
      </c>
    </row>
    <row r="48" spans="1:155" hidden="1" outlineLevel="1" x14ac:dyDescent="0.3">
      <c r="A48" s="36"/>
      <c r="B48" s="36"/>
      <c r="C48" s="38"/>
      <c r="D48" s="15" t="s">
        <v>16</v>
      </c>
      <c r="E48" s="19" t="e">
        <f t="shared" ref="E48:BP48" si="247">E47/E44</f>
        <v>#DIV/0!</v>
      </c>
      <c r="F48" s="19" t="e">
        <f t="shared" si="247"/>
        <v>#DIV/0!</v>
      </c>
      <c r="G48" s="19" t="e">
        <f t="shared" si="247"/>
        <v>#DIV/0!</v>
      </c>
      <c r="H48" s="19" t="e">
        <f t="shared" si="247"/>
        <v>#DIV/0!</v>
      </c>
      <c r="I48" s="19" t="e">
        <f t="shared" si="247"/>
        <v>#DIV/0!</v>
      </c>
      <c r="J48" s="19" t="e">
        <f t="shared" si="247"/>
        <v>#DIV/0!</v>
      </c>
      <c r="K48" s="19" t="e">
        <f t="shared" si="247"/>
        <v>#DIV/0!</v>
      </c>
      <c r="L48" s="19" t="e">
        <f t="shared" si="247"/>
        <v>#DIV/0!</v>
      </c>
      <c r="M48" s="19" t="e">
        <f t="shared" si="247"/>
        <v>#DIV/0!</v>
      </c>
      <c r="N48" s="19" t="e">
        <f t="shared" si="247"/>
        <v>#DIV/0!</v>
      </c>
      <c r="O48" s="19" t="e">
        <f t="shared" si="247"/>
        <v>#DIV/0!</v>
      </c>
      <c r="P48" s="19" t="e">
        <f t="shared" si="247"/>
        <v>#DIV/0!</v>
      </c>
      <c r="Q48" s="19" t="e">
        <f t="shared" si="247"/>
        <v>#DIV/0!</v>
      </c>
      <c r="R48" s="19" t="e">
        <f t="shared" si="247"/>
        <v>#DIV/0!</v>
      </c>
      <c r="S48" s="19" t="e">
        <f t="shared" si="247"/>
        <v>#DIV/0!</v>
      </c>
      <c r="T48" s="19" t="e">
        <f t="shared" si="247"/>
        <v>#DIV/0!</v>
      </c>
      <c r="U48" s="19" t="e">
        <f t="shared" si="247"/>
        <v>#DIV/0!</v>
      </c>
      <c r="V48" s="19" t="e">
        <f t="shared" si="247"/>
        <v>#DIV/0!</v>
      </c>
      <c r="W48" s="19" t="e">
        <f t="shared" si="247"/>
        <v>#DIV/0!</v>
      </c>
      <c r="X48" s="19" t="e">
        <f t="shared" si="247"/>
        <v>#DIV/0!</v>
      </c>
      <c r="Y48" s="19" t="e">
        <f t="shared" si="247"/>
        <v>#DIV/0!</v>
      </c>
      <c r="Z48" s="19" t="e">
        <f t="shared" si="247"/>
        <v>#DIV/0!</v>
      </c>
      <c r="AA48" s="19" t="e">
        <f t="shared" si="247"/>
        <v>#DIV/0!</v>
      </c>
      <c r="AB48" s="19" t="e">
        <f t="shared" si="247"/>
        <v>#DIV/0!</v>
      </c>
      <c r="AC48" s="19" t="e">
        <f t="shared" si="247"/>
        <v>#DIV/0!</v>
      </c>
      <c r="AD48" s="19" t="e">
        <f t="shared" si="247"/>
        <v>#DIV/0!</v>
      </c>
      <c r="AE48" s="19" t="e">
        <f t="shared" si="247"/>
        <v>#DIV/0!</v>
      </c>
      <c r="AF48" s="19" t="e">
        <f t="shared" si="247"/>
        <v>#DIV/0!</v>
      </c>
      <c r="AG48" s="19" t="e">
        <f t="shared" si="247"/>
        <v>#DIV/0!</v>
      </c>
      <c r="AH48" s="19" t="e">
        <f t="shared" si="247"/>
        <v>#DIV/0!</v>
      </c>
      <c r="AI48" s="19" t="e">
        <f t="shared" si="247"/>
        <v>#DIV/0!</v>
      </c>
      <c r="AJ48" s="19" t="e">
        <f t="shared" si="247"/>
        <v>#DIV/0!</v>
      </c>
      <c r="AK48" s="19" t="e">
        <f t="shared" si="247"/>
        <v>#DIV/0!</v>
      </c>
      <c r="AL48" s="19" t="e">
        <f t="shared" si="247"/>
        <v>#DIV/0!</v>
      </c>
      <c r="AM48" s="19" t="e">
        <f t="shared" si="247"/>
        <v>#DIV/0!</v>
      </c>
      <c r="AN48" s="19" t="e">
        <f t="shared" si="247"/>
        <v>#DIV/0!</v>
      </c>
      <c r="AO48" s="19" t="e">
        <f t="shared" si="247"/>
        <v>#DIV/0!</v>
      </c>
      <c r="AP48" s="19" t="e">
        <f t="shared" si="247"/>
        <v>#DIV/0!</v>
      </c>
      <c r="AQ48" s="19" t="e">
        <f t="shared" si="247"/>
        <v>#DIV/0!</v>
      </c>
      <c r="AR48" s="19" t="e">
        <f t="shared" si="247"/>
        <v>#DIV/0!</v>
      </c>
      <c r="AS48" s="19" t="e">
        <f t="shared" si="247"/>
        <v>#DIV/0!</v>
      </c>
      <c r="AT48" s="19" t="e">
        <f t="shared" si="247"/>
        <v>#DIV/0!</v>
      </c>
      <c r="AU48" s="19" t="e">
        <f t="shared" si="247"/>
        <v>#DIV/0!</v>
      </c>
      <c r="AV48" s="19" t="e">
        <f t="shared" si="247"/>
        <v>#DIV/0!</v>
      </c>
      <c r="AW48" s="19" t="e">
        <f t="shared" si="247"/>
        <v>#DIV/0!</v>
      </c>
      <c r="AX48" s="19" t="e">
        <f t="shared" si="247"/>
        <v>#DIV/0!</v>
      </c>
      <c r="AY48" s="19" t="e">
        <f t="shared" si="247"/>
        <v>#DIV/0!</v>
      </c>
      <c r="AZ48" s="19" t="e">
        <f t="shared" si="247"/>
        <v>#DIV/0!</v>
      </c>
      <c r="BA48" s="19" t="e">
        <f t="shared" si="247"/>
        <v>#DIV/0!</v>
      </c>
      <c r="BB48" s="19" t="e">
        <f t="shared" si="247"/>
        <v>#DIV/0!</v>
      </c>
      <c r="BC48" s="19" t="e">
        <f t="shared" si="247"/>
        <v>#DIV/0!</v>
      </c>
      <c r="BD48" s="19" t="e">
        <f t="shared" si="247"/>
        <v>#DIV/0!</v>
      </c>
      <c r="BE48" s="19" t="e">
        <f t="shared" si="247"/>
        <v>#DIV/0!</v>
      </c>
      <c r="BF48" s="19" t="e">
        <f t="shared" si="247"/>
        <v>#DIV/0!</v>
      </c>
      <c r="BG48" s="19" t="e">
        <f t="shared" si="247"/>
        <v>#DIV/0!</v>
      </c>
      <c r="BH48" s="19" t="e">
        <f t="shared" si="247"/>
        <v>#DIV/0!</v>
      </c>
      <c r="BI48" s="19" t="e">
        <f t="shared" si="247"/>
        <v>#DIV/0!</v>
      </c>
      <c r="BJ48" s="19" t="e">
        <f t="shared" si="247"/>
        <v>#DIV/0!</v>
      </c>
      <c r="BK48" s="19" t="e">
        <f t="shared" si="247"/>
        <v>#DIV/0!</v>
      </c>
      <c r="BL48" s="19" t="e">
        <f t="shared" si="247"/>
        <v>#DIV/0!</v>
      </c>
      <c r="BM48" s="19" t="e">
        <f t="shared" si="247"/>
        <v>#DIV/0!</v>
      </c>
      <c r="BN48" s="19" t="e">
        <f t="shared" si="247"/>
        <v>#DIV/0!</v>
      </c>
      <c r="BO48" s="19" t="e">
        <f t="shared" si="247"/>
        <v>#DIV/0!</v>
      </c>
      <c r="BP48" s="19" t="e">
        <f t="shared" si="247"/>
        <v>#DIV/0!</v>
      </c>
      <c r="BQ48" s="19" t="e">
        <f t="shared" ref="BQ48:CW48" si="248">BQ47/BQ44</f>
        <v>#DIV/0!</v>
      </c>
      <c r="BR48" s="19" t="e">
        <f t="shared" si="248"/>
        <v>#DIV/0!</v>
      </c>
      <c r="BS48" s="19" t="e">
        <f t="shared" si="248"/>
        <v>#DIV/0!</v>
      </c>
      <c r="BT48" s="19" t="e">
        <f t="shared" si="248"/>
        <v>#DIV/0!</v>
      </c>
      <c r="BU48" s="19" t="e">
        <f t="shared" si="248"/>
        <v>#DIV/0!</v>
      </c>
      <c r="BV48" s="19" t="e">
        <f t="shared" si="248"/>
        <v>#DIV/0!</v>
      </c>
      <c r="BW48" s="19" t="e">
        <f t="shared" si="248"/>
        <v>#DIV/0!</v>
      </c>
      <c r="BX48" s="19" t="e">
        <f t="shared" si="248"/>
        <v>#DIV/0!</v>
      </c>
      <c r="BY48" s="19" t="e">
        <f t="shared" si="248"/>
        <v>#DIV/0!</v>
      </c>
      <c r="BZ48" s="19" t="e">
        <f t="shared" si="248"/>
        <v>#DIV/0!</v>
      </c>
      <c r="CA48" s="19" t="e">
        <f t="shared" si="248"/>
        <v>#DIV/0!</v>
      </c>
      <c r="CB48" s="19" t="e">
        <f t="shared" si="248"/>
        <v>#DIV/0!</v>
      </c>
      <c r="CC48" s="19" t="e">
        <f t="shared" si="248"/>
        <v>#DIV/0!</v>
      </c>
      <c r="CD48" s="19" t="e">
        <f t="shared" si="248"/>
        <v>#DIV/0!</v>
      </c>
      <c r="CE48" s="19" t="e">
        <f t="shared" si="248"/>
        <v>#DIV/0!</v>
      </c>
      <c r="CF48" s="19" t="e">
        <f t="shared" si="248"/>
        <v>#DIV/0!</v>
      </c>
      <c r="CG48" s="19" t="e">
        <f t="shared" si="248"/>
        <v>#DIV/0!</v>
      </c>
      <c r="CH48" s="19" t="e">
        <f t="shared" si="248"/>
        <v>#DIV/0!</v>
      </c>
      <c r="CI48" s="19" t="e">
        <f t="shared" si="248"/>
        <v>#DIV/0!</v>
      </c>
      <c r="CJ48" s="19" t="e">
        <f t="shared" si="248"/>
        <v>#DIV/0!</v>
      </c>
      <c r="CK48" s="19" t="e">
        <f t="shared" si="248"/>
        <v>#DIV/0!</v>
      </c>
      <c r="CL48" s="19" t="e">
        <f t="shared" si="248"/>
        <v>#DIV/0!</v>
      </c>
      <c r="CM48" s="19" t="e">
        <f t="shared" si="248"/>
        <v>#DIV/0!</v>
      </c>
      <c r="CN48" s="19" t="e">
        <f t="shared" si="248"/>
        <v>#DIV/0!</v>
      </c>
      <c r="CO48" s="19" t="e">
        <f t="shared" si="248"/>
        <v>#DIV/0!</v>
      </c>
      <c r="CP48" s="19" t="e">
        <f t="shared" si="248"/>
        <v>#DIV/0!</v>
      </c>
      <c r="CQ48" s="19" t="e">
        <f t="shared" si="248"/>
        <v>#DIV/0!</v>
      </c>
      <c r="CR48" s="19" t="e">
        <f t="shared" si="248"/>
        <v>#DIV/0!</v>
      </c>
      <c r="CS48" s="19" t="e">
        <f t="shared" si="248"/>
        <v>#DIV/0!</v>
      </c>
      <c r="CT48" s="19" t="e">
        <f t="shared" si="248"/>
        <v>#DIV/0!</v>
      </c>
      <c r="CU48" s="19" t="e">
        <f t="shared" si="248"/>
        <v>#DIV/0!</v>
      </c>
      <c r="CV48" s="19" t="e">
        <f t="shared" si="248"/>
        <v>#DIV/0!</v>
      </c>
      <c r="CW48" s="19" t="e">
        <f t="shared" si="248"/>
        <v>#DIV/0!</v>
      </c>
      <c r="CX48" s="19" t="e">
        <f t="shared" ref="CX48:CY48" si="249">CX47/CX44</f>
        <v>#DIV/0!</v>
      </c>
      <c r="CY48" s="19" t="e">
        <f t="shared" si="249"/>
        <v>#DIV/0!</v>
      </c>
      <c r="CZ48" s="19" t="e">
        <f t="shared" ref="CZ48:EV48" si="250">CZ47/CZ44</f>
        <v>#DIV/0!</v>
      </c>
      <c r="DA48" s="19" t="e">
        <f t="shared" si="250"/>
        <v>#DIV/0!</v>
      </c>
      <c r="DB48" s="19" t="e">
        <f t="shared" si="250"/>
        <v>#DIV/0!</v>
      </c>
      <c r="DC48" s="19" t="e">
        <f t="shared" si="250"/>
        <v>#DIV/0!</v>
      </c>
      <c r="DD48" s="19" t="e">
        <f t="shared" si="250"/>
        <v>#DIV/0!</v>
      </c>
      <c r="DE48" s="19" t="e">
        <f t="shared" si="250"/>
        <v>#DIV/0!</v>
      </c>
      <c r="DF48" s="19" t="e">
        <f t="shared" si="250"/>
        <v>#DIV/0!</v>
      </c>
      <c r="DG48" s="19" t="e">
        <f t="shared" si="250"/>
        <v>#DIV/0!</v>
      </c>
      <c r="DH48" s="19" t="e">
        <f t="shared" si="250"/>
        <v>#DIV/0!</v>
      </c>
      <c r="DI48" s="19" t="e">
        <f t="shared" si="250"/>
        <v>#DIV/0!</v>
      </c>
      <c r="DJ48" s="19" t="e">
        <f t="shared" si="250"/>
        <v>#DIV/0!</v>
      </c>
      <c r="DK48" s="19" t="e">
        <f t="shared" si="250"/>
        <v>#DIV/0!</v>
      </c>
      <c r="DL48" s="19" t="e">
        <f t="shared" si="250"/>
        <v>#DIV/0!</v>
      </c>
      <c r="DM48" s="19" t="e">
        <f t="shared" si="250"/>
        <v>#DIV/0!</v>
      </c>
      <c r="DN48" s="19" t="e">
        <f t="shared" si="250"/>
        <v>#DIV/0!</v>
      </c>
      <c r="DO48" s="19" t="e">
        <f t="shared" si="250"/>
        <v>#DIV/0!</v>
      </c>
      <c r="DP48" s="19" t="e">
        <f t="shared" si="250"/>
        <v>#DIV/0!</v>
      </c>
      <c r="DQ48" s="19" t="e">
        <f t="shared" si="250"/>
        <v>#DIV/0!</v>
      </c>
      <c r="DR48" s="19" t="e">
        <f t="shared" si="250"/>
        <v>#DIV/0!</v>
      </c>
      <c r="DS48" s="19" t="e">
        <f t="shared" si="250"/>
        <v>#DIV/0!</v>
      </c>
      <c r="DT48" s="19" t="e">
        <f t="shared" si="250"/>
        <v>#DIV/0!</v>
      </c>
      <c r="DU48" s="19" t="e">
        <f t="shared" si="250"/>
        <v>#DIV/0!</v>
      </c>
      <c r="DV48" s="19" t="e">
        <f t="shared" si="250"/>
        <v>#DIV/0!</v>
      </c>
      <c r="DW48" s="19" t="e">
        <f t="shared" si="250"/>
        <v>#DIV/0!</v>
      </c>
      <c r="DX48" s="19" t="e">
        <f t="shared" si="250"/>
        <v>#DIV/0!</v>
      </c>
      <c r="DY48" s="19" t="e">
        <f t="shared" si="250"/>
        <v>#DIV/0!</v>
      </c>
      <c r="DZ48" s="19" t="e">
        <f t="shared" si="250"/>
        <v>#DIV/0!</v>
      </c>
      <c r="EA48" s="19" t="e">
        <f t="shared" si="250"/>
        <v>#DIV/0!</v>
      </c>
      <c r="EB48" s="19" t="e">
        <f t="shared" si="250"/>
        <v>#DIV/0!</v>
      </c>
      <c r="EC48" s="19" t="e">
        <f t="shared" si="250"/>
        <v>#DIV/0!</v>
      </c>
      <c r="ED48" s="19" t="e">
        <f t="shared" si="250"/>
        <v>#DIV/0!</v>
      </c>
      <c r="EE48" s="19" t="e">
        <f t="shared" si="250"/>
        <v>#DIV/0!</v>
      </c>
      <c r="EF48" s="19" t="e">
        <f t="shared" si="250"/>
        <v>#DIV/0!</v>
      </c>
      <c r="EG48" s="19" t="e">
        <f t="shared" si="250"/>
        <v>#DIV/0!</v>
      </c>
      <c r="EH48" s="19" t="e">
        <f t="shared" si="250"/>
        <v>#DIV/0!</v>
      </c>
      <c r="EI48" s="19" t="e">
        <f t="shared" si="250"/>
        <v>#DIV/0!</v>
      </c>
      <c r="EJ48" s="19" t="e">
        <f t="shared" si="250"/>
        <v>#DIV/0!</v>
      </c>
      <c r="EK48" s="19" t="e">
        <f t="shared" si="250"/>
        <v>#DIV/0!</v>
      </c>
      <c r="EL48" s="19" t="e">
        <f t="shared" si="250"/>
        <v>#DIV/0!</v>
      </c>
      <c r="EM48" s="19" t="e">
        <f t="shared" si="250"/>
        <v>#DIV/0!</v>
      </c>
      <c r="EN48" s="19" t="e">
        <f t="shared" si="250"/>
        <v>#DIV/0!</v>
      </c>
      <c r="EO48" s="19" t="e">
        <f t="shared" si="250"/>
        <v>#DIV/0!</v>
      </c>
      <c r="EP48" s="19" t="e">
        <f t="shared" si="250"/>
        <v>#DIV/0!</v>
      </c>
      <c r="EQ48" s="19" t="e">
        <f t="shared" si="250"/>
        <v>#DIV/0!</v>
      </c>
      <c r="ER48" s="19" t="e">
        <f t="shared" si="250"/>
        <v>#DIV/0!</v>
      </c>
      <c r="ES48" s="19" t="e">
        <f t="shared" si="250"/>
        <v>#DIV/0!</v>
      </c>
      <c r="ET48" s="19" t="e">
        <f t="shared" si="250"/>
        <v>#DIV/0!</v>
      </c>
      <c r="EU48" s="19" t="e">
        <f t="shared" si="250"/>
        <v>#DIV/0!</v>
      </c>
      <c r="EV48" s="19" t="e">
        <f t="shared" si="250"/>
        <v>#DIV/0!</v>
      </c>
      <c r="EW48" s="19" t="e">
        <f t="shared" ref="EW48:EY48" si="251">EW47/EW44</f>
        <v>#DIV/0!</v>
      </c>
      <c r="EX48" s="19" t="e">
        <f t="shared" si="251"/>
        <v>#DIV/0!</v>
      </c>
      <c r="EY48" s="19" t="e">
        <f t="shared" si="251"/>
        <v>#DIV/0!</v>
      </c>
    </row>
    <row r="49" spans="1:155" hidden="1" outlineLevel="1" x14ac:dyDescent="0.3">
      <c r="A49" s="36"/>
      <c r="B49" s="36"/>
      <c r="C49" s="39"/>
      <c r="D49" s="15" t="s">
        <v>17</v>
      </c>
      <c r="E49" s="20" t="e">
        <f>E47/E45</f>
        <v>#DIV/0!</v>
      </c>
      <c r="F49" s="20" t="e">
        <f t="shared" ref="F49:BQ49" si="252">F47/F45</f>
        <v>#DIV/0!</v>
      </c>
      <c r="G49" s="20" t="e">
        <f t="shared" si="252"/>
        <v>#DIV/0!</v>
      </c>
      <c r="H49" s="20" t="e">
        <f t="shared" si="252"/>
        <v>#DIV/0!</v>
      </c>
      <c r="I49" s="20" t="e">
        <f t="shared" si="252"/>
        <v>#DIV/0!</v>
      </c>
      <c r="J49" s="20" t="e">
        <f t="shared" si="252"/>
        <v>#DIV/0!</v>
      </c>
      <c r="K49" s="20" t="e">
        <f t="shared" si="252"/>
        <v>#DIV/0!</v>
      </c>
      <c r="L49" s="20" t="e">
        <f t="shared" si="252"/>
        <v>#DIV/0!</v>
      </c>
      <c r="M49" s="20" t="e">
        <f t="shared" si="252"/>
        <v>#DIV/0!</v>
      </c>
      <c r="N49" s="20" t="e">
        <f t="shared" si="252"/>
        <v>#DIV/0!</v>
      </c>
      <c r="O49" s="20" t="e">
        <f t="shared" si="252"/>
        <v>#DIV/0!</v>
      </c>
      <c r="P49" s="20" t="e">
        <f t="shared" si="252"/>
        <v>#DIV/0!</v>
      </c>
      <c r="Q49" s="20" t="e">
        <f t="shared" si="252"/>
        <v>#DIV/0!</v>
      </c>
      <c r="R49" s="20" t="e">
        <f t="shared" si="252"/>
        <v>#DIV/0!</v>
      </c>
      <c r="S49" s="20" t="e">
        <f t="shared" si="252"/>
        <v>#DIV/0!</v>
      </c>
      <c r="T49" s="20" t="e">
        <f t="shared" si="252"/>
        <v>#DIV/0!</v>
      </c>
      <c r="U49" s="20" t="e">
        <f t="shared" si="252"/>
        <v>#DIV/0!</v>
      </c>
      <c r="V49" s="20" t="e">
        <f t="shared" si="252"/>
        <v>#DIV/0!</v>
      </c>
      <c r="W49" s="20" t="e">
        <f t="shared" si="252"/>
        <v>#DIV/0!</v>
      </c>
      <c r="X49" s="20" t="e">
        <f t="shared" si="252"/>
        <v>#DIV/0!</v>
      </c>
      <c r="Y49" s="20" t="e">
        <f t="shared" si="252"/>
        <v>#DIV/0!</v>
      </c>
      <c r="Z49" s="20" t="e">
        <f t="shared" si="252"/>
        <v>#DIV/0!</v>
      </c>
      <c r="AA49" s="20" t="e">
        <f t="shared" si="252"/>
        <v>#DIV/0!</v>
      </c>
      <c r="AB49" s="20" t="e">
        <f t="shared" si="252"/>
        <v>#DIV/0!</v>
      </c>
      <c r="AC49" s="20" t="e">
        <f t="shared" si="252"/>
        <v>#DIV/0!</v>
      </c>
      <c r="AD49" s="20" t="e">
        <f t="shared" si="252"/>
        <v>#DIV/0!</v>
      </c>
      <c r="AE49" s="20" t="e">
        <f t="shared" si="252"/>
        <v>#DIV/0!</v>
      </c>
      <c r="AF49" s="20" t="e">
        <f t="shared" si="252"/>
        <v>#DIV/0!</v>
      </c>
      <c r="AG49" s="20" t="e">
        <f t="shared" si="252"/>
        <v>#DIV/0!</v>
      </c>
      <c r="AH49" s="20" t="e">
        <f t="shared" si="252"/>
        <v>#DIV/0!</v>
      </c>
      <c r="AI49" s="20" t="e">
        <f t="shared" si="252"/>
        <v>#DIV/0!</v>
      </c>
      <c r="AJ49" s="20" t="e">
        <f t="shared" si="252"/>
        <v>#DIV/0!</v>
      </c>
      <c r="AK49" s="20" t="e">
        <f t="shared" si="252"/>
        <v>#DIV/0!</v>
      </c>
      <c r="AL49" s="20" t="e">
        <f t="shared" si="252"/>
        <v>#DIV/0!</v>
      </c>
      <c r="AM49" s="20" t="e">
        <f t="shared" si="252"/>
        <v>#DIV/0!</v>
      </c>
      <c r="AN49" s="20" t="e">
        <f t="shared" si="252"/>
        <v>#DIV/0!</v>
      </c>
      <c r="AO49" s="20" t="e">
        <f t="shared" si="252"/>
        <v>#DIV/0!</v>
      </c>
      <c r="AP49" s="20" t="e">
        <f t="shared" si="252"/>
        <v>#DIV/0!</v>
      </c>
      <c r="AQ49" s="20" t="e">
        <f t="shared" si="252"/>
        <v>#DIV/0!</v>
      </c>
      <c r="AR49" s="20" t="e">
        <f t="shared" si="252"/>
        <v>#DIV/0!</v>
      </c>
      <c r="AS49" s="20" t="e">
        <f t="shared" si="252"/>
        <v>#DIV/0!</v>
      </c>
      <c r="AT49" s="20" t="e">
        <f t="shared" si="252"/>
        <v>#DIV/0!</v>
      </c>
      <c r="AU49" s="20" t="e">
        <f t="shared" si="252"/>
        <v>#DIV/0!</v>
      </c>
      <c r="AV49" s="20" t="e">
        <f t="shared" si="252"/>
        <v>#DIV/0!</v>
      </c>
      <c r="AW49" s="20" t="e">
        <f t="shared" si="252"/>
        <v>#DIV/0!</v>
      </c>
      <c r="AX49" s="20" t="e">
        <f t="shared" si="252"/>
        <v>#DIV/0!</v>
      </c>
      <c r="AY49" s="20" t="e">
        <f t="shared" si="252"/>
        <v>#DIV/0!</v>
      </c>
      <c r="AZ49" s="20" t="e">
        <f t="shared" si="252"/>
        <v>#DIV/0!</v>
      </c>
      <c r="BA49" s="20" t="e">
        <f t="shared" si="252"/>
        <v>#DIV/0!</v>
      </c>
      <c r="BB49" s="20" t="e">
        <f t="shared" si="252"/>
        <v>#DIV/0!</v>
      </c>
      <c r="BC49" s="20" t="e">
        <f t="shared" si="252"/>
        <v>#DIV/0!</v>
      </c>
      <c r="BD49" s="20" t="e">
        <f t="shared" si="252"/>
        <v>#DIV/0!</v>
      </c>
      <c r="BE49" s="20" t="e">
        <f t="shared" si="252"/>
        <v>#DIV/0!</v>
      </c>
      <c r="BF49" s="20" t="e">
        <f t="shared" si="252"/>
        <v>#DIV/0!</v>
      </c>
      <c r="BG49" s="20" t="e">
        <f t="shared" si="252"/>
        <v>#DIV/0!</v>
      </c>
      <c r="BH49" s="20" t="e">
        <f t="shared" si="252"/>
        <v>#DIV/0!</v>
      </c>
      <c r="BI49" s="20" t="e">
        <f t="shared" si="252"/>
        <v>#DIV/0!</v>
      </c>
      <c r="BJ49" s="20" t="e">
        <f t="shared" si="252"/>
        <v>#DIV/0!</v>
      </c>
      <c r="BK49" s="20" t="e">
        <f t="shared" si="252"/>
        <v>#DIV/0!</v>
      </c>
      <c r="BL49" s="20" t="e">
        <f t="shared" si="252"/>
        <v>#DIV/0!</v>
      </c>
      <c r="BM49" s="20" t="e">
        <f t="shared" si="252"/>
        <v>#DIV/0!</v>
      </c>
      <c r="BN49" s="20" t="e">
        <f t="shared" si="252"/>
        <v>#DIV/0!</v>
      </c>
      <c r="BO49" s="20" t="e">
        <f t="shared" si="252"/>
        <v>#DIV/0!</v>
      </c>
      <c r="BP49" s="20" t="e">
        <f t="shared" si="252"/>
        <v>#DIV/0!</v>
      </c>
      <c r="BQ49" s="20" t="e">
        <f t="shared" si="252"/>
        <v>#DIV/0!</v>
      </c>
      <c r="BR49" s="20" t="e">
        <f t="shared" ref="BR49:CW49" si="253">BR47/BR45</f>
        <v>#DIV/0!</v>
      </c>
      <c r="BS49" s="20" t="e">
        <f t="shared" si="253"/>
        <v>#DIV/0!</v>
      </c>
      <c r="BT49" s="20" t="e">
        <f t="shared" si="253"/>
        <v>#DIV/0!</v>
      </c>
      <c r="BU49" s="20" t="e">
        <f t="shared" si="253"/>
        <v>#DIV/0!</v>
      </c>
      <c r="BV49" s="20" t="e">
        <f t="shared" si="253"/>
        <v>#DIV/0!</v>
      </c>
      <c r="BW49" s="20" t="e">
        <f t="shared" si="253"/>
        <v>#DIV/0!</v>
      </c>
      <c r="BX49" s="20">
        <f t="shared" si="253"/>
        <v>1.2866666666666668</v>
      </c>
      <c r="BY49" s="20">
        <f t="shared" si="253"/>
        <v>0.66666666666666663</v>
      </c>
      <c r="BZ49" s="20">
        <f t="shared" si="253"/>
        <v>0.66666666666666663</v>
      </c>
      <c r="CA49" s="20">
        <f t="shared" si="253"/>
        <v>0.6</v>
      </c>
      <c r="CB49" s="20">
        <f t="shared" si="253"/>
        <v>1.25</v>
      </c>
      <c r="CC49" s="20">
        <f t="shared" si="253"/>
        <v>1.1859999999999999</v>
      </c>
      <c r="CD49" s="20">
        <f t="shared" si="253"/>
        <v>1.0859999999999999</v>
      </c>
      <c r="CE49" s="20">
        <f t="shared" si="253"/>
        <v>1.2</v>
      </c>
      <c r="CF49" s="20">
        <f t="shared" si="253"/>
        <v>1.2</v>
      </c>
      <c r="CG49" s="20">
        <f t="shared" si="253"/>
        <v>1.2</v>
      </c>
      <c r="CH49" s="20">
        <f t="shared" si="253"/>
        <v>1.2</v>
      </c>
      <c r="CI49" s="20">
        <f t="shared" si="253"/>
        <v>1</v>
      </c>
      <c r="CJ49" s="20">
        <f t="shared" si="253"/>
        <v>0.66666666666666663</v>
      </c>
      <c r="CK49" s="20">
        <f t="shared" si="253"/>
        <v>1</v>
      </c>
      <c r="CL49" s="20">
        <f t="shared" si="253"/>
        <v>1</v>
      </c>
      <c r="CM49" s="20">
        <f t="shared" si="253"/>
        <v>1</v>
      </c>
      <c r="CN49" s="20">
        <f t="shared" si="253"/>
        <v>1</v>
      </c>
      <c r="CO49" s="20">
        <f t="shared" si="253"/>
        <v>1</v>
      </c>
      <c r="CP49" s="20">
        <f t="shared" si="253"/>
        <v>1</v>
      </c>
      <c r="CQ49" s="20">
        <f t="shared" si="253"/>
        <v>1</v>
      </c>
      <c r="CR49" s="20">
        <f t="shared" si="253"/>
        <v>1</v>
      </c>
      <c r="CS49" s="20">
        <f t="shared" si="253"/>
        <v>1</v>
      </c>
      <c r="CT49" s="20" t="e">
        <f t="shared" si="253"/>
        <v>#DIV/0!</v>
      </c>
      <c r="CU49" s="20" t="e">
        <f t="shared" si="253"/>
        <v>#DIV/0!</v>
      </c>
      <c r="CV49" s="20" t="e">
        <f t="shared" si="253"/>
        <v>#DIV/0!</v>
      </c>
      <c r="CW49" s="20" t="e">
        <f t="shared" si="253"/>
        <v>#DIV/0!</v>
      </c>
      <c r="CX49" s="20" t="e">
        <f t="shared" ref="CX49:CY49" si="254">CX47/CX45</f>
        <v>#DIV/0!</v>
      </c>
      <c r="CY49" s="20" t="e">
        <f t="shared" si="254"/>
        <v>#DIV/0!</v>
      </c>
      <c r="CZ49" s="20" t="e">
        <f t="shared" ref="CZ49:EV49" si="255">CZ47/CZ45</f>
        <v>#DIV/0!</v>
      </c>
      <c r="DA49" s="20" t="e">
        <f t="shared" si="255"/>
        <v>#DIV/0!</v>
      </c>
      <c r="DB49" s="20" t="e">
        <f t="shared" si="255"/>
        <v>#DIV/0!</v>
      </c>
      <c r="DC49" s="20" t="e">
        <f t="shared" si="255"/>
        <v>#DIV/0!</v>
      </c>
      <c r="DD49" s="20" t="e">
        <f t="shared" si="255"/>
        <v>#DIV/0!</v>
      </c>
      <c r="DE49" s="20" t="e">
        <f t="shared" si="255"/>
        <v>#DIV/0!</v>
      </c>
      <c r="DF49" s="20" t="e">
        <f t="shared" si="255"/>
        <v>#DIV/0!</v>
      </c>
      <c r="DG49" s="20" t="e">
        <f t="shared" si="255"/>
        <v>#DIV/0!</v>
      </c>
      <c r="DH49" s="20" t="e">
        <f t="shared" si="255"/>
        <v>#DIV/0!</v>
      </c>
      <c r="DI49" s="20" t="e">
        <f t="shared" si="255"/>
        <v>#DIV/0!</v>
      </c>
      <c r="DJ49" s="20" t="e">
        <f t="shared" si="255"/>
        <v>#DIV/0!</v>
      </c>
      <c r="DK49" s="20" t="e">
        <f t="shared" si="255"/>
        <v>#DIV/0!</v>
      </c>
      <c r="DL49" s="20" t="e">
        <f t="shared" si="255"/>
        <v>#DIV/0!</v>
      </c>
      <c r="DM49" s="20" t="e">
        <f t="shared" si="255"/>
        <v>#DIV/0!</v>
      </c>
      <c r="DN49" s="20" t="e">
        <f t="shared" si="255"/>
        <v>#DIV/0!</v>
      </c>
      <c r="DO49" s="20" t="e">
        <f t="shared" si="255"/>
        <v>#DIV/0!</v>
      </c>
      <c r="DP49" s="20" t="e">
        <f t="shared" si="255"/>
        <v>#DIV/0!</v>
      </c>
      <c r="DQ49" s="20" t="e">
        <f t="shared" si="255"/>
        <v>#DIV/0!</v>
      </c>
      <c r="DR49" s="20" t="e">
        <f t="shared" si="255"/>
        <v>#DIV/0!</v>
      </c>
      <c r="DS49" s="20" t="e">
        <f t="shared" si="255"/>
        <v>#DIV/0!</v>
      </c>
      <c r="DT49" s="20" t="e">
        <f t="shared" si="255"/>
        <v>#DIV/0!</v>
      </c>
      <c r="DU49" s="20" t="e">
        <f t="shared" si="255"/>
        <v>#DIV/0!</v>
      </c>
      <c r="DV49" s="20" t="e">
        <f t="shared" si="255"/>
        <v>#DIV/0!</v>
      </c>
      <c r="DW49" s="20" t="e">
        <f t="shared" si="255"/>
        <v>#DIV/0!</v>
      </c>
      <c r="DX49" s="20" t="e">
        <f t="shared" si="255"/>
        <v>#DIV/0!</v>
      </c>
      <c r="DY49" s="20" t="e">
        <f t="shared" si="255"/>
        <v>#DIV/0!</v>
      </c>
      <c r="DZ49" s="20" t="e">
        <f t="shared" si="255"/>
        <v>#DIV/0!</v>
      </c>
      <c r="EA49" s="20" t="e">
        <f t="shared" si="255"/>
        <v>#DIV/0!</v>
      </c>
      <c r="EB49" s="20" t="e">
        <f t="shared" si="255"/>
        <v>#DIV/0!</v>
      </c>
      <c r="EC49" s="20" t="e">
        <f t="shared" si="255"/>
        <v>#DIV/0!</v>
      </c>
      <c r="ED49" s="20" t="e">
        <f t="shared" si="255"/>
        <v>#DIV/0!</v>
      </c>
      <c r="EE49" s="20" t="e">
        <f t="shared" si="255"/>
        <v>#DIV/0!</v>
      </c>
      <c r="EF49" s="20" t="e">
        <f t="shared" si="255"/>
        <v>#DIV/0!</v>
      </c>
      <c r="EG49" s="20" t="e">
        <f t="shared" si="255"/>
        <v>#DIV/0!</v>
      </c>
      <c r="EH49" s="20" t="e">
        <f t="shared" si="255"/>
        <v>#DIV/0!</v>
      </c>
      <c r="EI49" s="20" t="e">
        <f t="shared" si="255"/>
        <v>#DIV/0!</v>
      </c>
      <c r="EJ49" s="20" t="e">
        <f t="shared" si="255"/>
        <v>#DIV/0!</v>
      </c>
      <c r="EK49" s="20" t="e">
        <f t="shared" si="255"/>
        <v>#DIV/0!</v>
      </c>
      <c r="EL49" s="20" t="e">
        <f t="shared" si="255"/>
        <v>#DIV/0!</v>
      </c>
      <c r="EM49" s="20" t="e">
        <f t="shared" si="255"/>
        <v>#DIV/0!</v>
      </c>
      <c r="EN49" s="20" t="e">
        <f t="shared" si="255"/>
        <v>#DIV/0!</v>
      </c>
      <c r="EO49" s="20" t="e">
        <f t="shared" si="255"/>
        <v>#DIV/0!</v>
      </c>
      <c r="EP49" s="20" t="e">
        <f t="shared" si="255"/>
        <v>#DIV/0!</v>
      </c>
      <c r="EQ49" s="20" t="e">
        <f t="shared" si="255"/>
        <v>#DIV/0!</v>
      </c>
      <c r="ER49" s="20" t="e">
        <f t="shared" si="255"/>
        <v>#DIV/0!</v>
      </c>
      <c r="ES49" s="20" t="e">
        <f t="shared" si="255"/>
        <v>#DIV/0!</v>
      </c>
      <c r="ET49" s="20" t="e">
        <f t="shared" si="255"/>
        <v>#DIV/0!</v>
      </c>
      <c r="EU49" s="20" t="e">
        <f t="shared" si="255"/>
        <v>#DIV/0!</v>
      </c>
      <c r="EV49" s="20" t="e">
        <f t="shared" si="255"/>
        <v>#DIV/0!</v>
      </c>
      <c r="EW49" s="20" t="e">
        <f t="shared" ref="EW49:EY49" si="256">EW47/EW45</f>
        <v>#DIV/0!</v>
      </c>
      <c r="EX49" s="20" t="e">
        <f t="shared" si="256"/>
        <v>#DIV/0!</v>
      </c>
      <c r="EY49" s="20" t="e">
        <f t="shared" si="256"/>
        <v>#DIV/0!</v>
      </c>
    </row>
    <row r="50" spans="1:155" collapsed="1" x14ac:dyDescent="0.3"/>
    <row r="51" spans="1:155" x14ac:dyDescent="0.3">
      <c r="A51" s="36" t="s">
        <v>27</v>
      </c>
      <c r="B51" s="36" t="s">
        <v>27</v>
      </c>
      <c r="C51" s="37" t="s">
        <v>23</v>
      </c>
      <c r="D51" s="15" t="s">
        <v>13</v>
      </c>
      <c r="E51" s="23">
        <f>SUM(E23,E16,E9,E2,E37,E44)</f>
        <v>304.62017402283288</v>
      </c>
      <c r="F51" s="23">
        <f t="shared" ref="F51:AK51" si="257">SUM(F23,F16,F9,F2,)</f>
        <v>304.62017402283288</v>
      </c>
      <c r="G51" s="23">
        <f t="shared" si="257"/>
        <v>306.07781987061549</v>
      </c>
      <c r="H51" s="23">
        <f t="shared" si="257"/>
        <v>306.07781987061549</v>
      </c>
      <c r="I51" s="23">
        <f t="shared" si="257"/>
        <v>306.07781987061549</v>
      </c>
      <c r="J51" s="23">
        <f t="shared" si="257"/>
        <v>306.07781987061549</v>
      </c>
      <c r="K51" s="23">
        <f t="shared" si="257"/>
        <v>297.20222361899539</v>
      </c>
      <c r="L51" s="23">
        <f t="shared" si="257"/>
        <v>297.20222361899539</v>
      </c>
      <c r="M51" s="23">
        <f t="shared" si="257"/>
        <v>297.20222361899539</v>
      </c>
      <c r="N51" s="23">
        <f t="shared" si="257"/>
        <v>297.20222361899539</v>
      </c>
      <c r="O51" s="23">
        <f t="shared" si="257"/>
        <v>302.46971344460655</v>
      </c>
      <c r="P51" s="23">
        <f t="shared" si="257"/>
        <v>302.46971344460655</v>
      </c>
      <c r="Q51" s="23">
        <f t="shared" si="257"/>
        <v>302.46971344460655</v>
      </c>
      <c r="R51" s="23">
        <f t="shared" si="257"/>
        <v>302.46971344460655</v>
      </c>
      <c r="S51" s="23">
        <f t="shared" si="257"/>
        <v>327.39215273870957</v>
      </c>
      <c r="T51" s="23">
        <f t="shared" si="257"/>
        <v>327.39215273870957</v>
      </c>
      <c r="U51" s="23">
        <f t="shared" si="257"/>
        <v>327.39215273870957</v>
      </c>
      <c r="V51" s="23">
        <f t="shared" si="257"/>
        <v>327.39215273870957</v>
      </c>
      <c r="W51" s="23">
        <f t="shared" si="257"/>
        <v>327.39215273870957</v>
      </c>
      <c r="X51" s="23">
        <f t="shared" si="257"/>
        <v>282.16921055661743</v>
      </c>
      <c r="Y51" s="23">
        <f t="shared" si="257"/>
        <v>282.16921055661743</v>
      </c>
      <c r="Z51" s="23">
        <f t="shared" si="257"/>
        <v>282.16921055661743</v>
      </c>
      <c r="AA51" s="23">
        <f t="shared" si="257"/>
        <v>282.16921055661743</v>
      </c>
      <c r="AB51" s="23">
        <f t="shared" si="257"/>
        <v>301.05511488473849</v>
      </c>
      <c r="AC51" s="23">
        <f t="shared" si="257"/>
        <v>301.05511488473849</v>
      </c>
      <c r="AD51" s="23">
        <f t="shared" si="257"/>
        <v>301.05511488473849</v>
      </c>
      <c r="AE51" s="23">
        <f t="shared" si="257"/>
        <v>301.05511488473849</v>
      </c>
      <c r="AF51" s="23">
        <f t="shared" si="257"/>
        <v>301.05511488473849</v>
      </c>
      <c r="AG51" s="23">
        <f t="shared" si="257"/>
        <v>283.11118527669339</v>
      </c>
      <c r="AH51" s="23">
        <f t="shared" si="257"/>
        <v>283.11118527669339</v>
      </c>
      <c r="AI51" s="23">
        <f t="shared" si="257"/>
        <v>283.11118527669339</v>
      </c>
      <c r="AJ51" s="23">
        <f t="shared" si="257"/>
        <v>283.11118527669339</v>
      </c>
      <c r="AK51" s="23">
        <f t="shared" si="257"/>
        <v>255.37347818800333</v>
      </c>
      <c r="AL51" s="23">
        <f t="shared" ref="AL51:BH51" si="258">SUM(AL23,AL16,AL9,AL2,)</f>
        <v>255.37347818800333</v>
      </c>
      <c r="AM51" s="23">
        <f t="shared" si="258"/>
        <v>255.37347818800333</v>
      </c>
      <c r="AN51" s="23">
        <f t="shared" si="258"/>
        <v>255.37347818800333</v>
      </c>
      <c r="AO51" s="23">
        <f t="shared" si="258"/>
        <v>255.33540387133107</v>
      </c>
      <c r="AP51" s="23">
        <f t="shared" si="258"/>
        <v>255.33540387133107</v>
      </c>
      <c r="AQ51" s="23">
        <f t="shared" si="258"/>
        <v>255.33540387133107</v>
      </c>
      <c r="AR51" s="23">
        <f t="shared" si="258"/>
        <v>255.33540387133107</v>
      </c>
      <c r="AS51" s="23">
        <f t="shared" si="258"/>
        <v>255.33540387133107</v>
      </c>
      <c r="AT51" s="23">
        <f t="shared" si="258"/>
        <v>246.81030225160256</v>
      </c>
      <c r="AU51" s="23">
        <f t="shared" si="258"/>
        <v>246.81030225160256</v>
      </c>
      <c r="AV51" s="23">
        <f t="shared" si="258"/>
        <v>246.81030225160256</v>
      </c>
      <c r="AW51" s="23">
        <f t="shared" si="258"/>
        <v>246.81030225160256</v>
      </c>
      <c r="AX51" s="23">
        <f t="shared" si="258"/>
        <v>0</v>
      </c>
      <c r="AY51" s="23">
        <f t="shared" si="258"/>
        <v>0</v>
      </c>
      <c r="AZ51" s="23">
        <f t="shared" si="258"/>
        <v>0</v>
      </c>
      <c r="BA51" s="23">
        <f t="shared" si="258"/>
        <v>0</v>
      </c>
      <c r="BB51" s="23">
        <f t="shared" si="258"/>
        <v>0</v>
      </c>
      <c r="BC51" s="23">
        <f t="shared" si="258"/>
        <v>0</v>
      </c>
      <c r="BD51" s="23">
        <f t="shared" si="258"/>
        <v>0</v>
      </c>
      <c r="BE51" s="23">
        <f t="shared" si="258"/>
        <v>0</v>
      </c>
      <c r="BF51" s="23">
        <f t="shared" si="258"/>
        <v>0</v>
      </c>
      <c r="BG51" s="23">
        <f t="shared" si="258"/>
        <v>0</v>
      </c>
      <c r="BH51" s="23">
        <f t="shared" si="258"/>
        <v>0</v>
      </c>
      <c r="BI51" s="23">
        <f t="shared" ref="BI51:CK51" si="259">SUM(BI23,BI16,BI9,BI2,BI37,BI44)</f>
        <v>0</v>
      </c>
      <c r="BJ51" s="23">
        <f t="shared" si="259"/>
        <v>0</v>
      </c>
      <c r="BK51" s="23">
        <f t="shared" si="259"/>
        <v>0</v>
      </c>
      <c r="BL51" s="23">
        <f t="shared" si="259"/>
        <v>0</v>
      </c>
      <c r="BM51" s="23">
        <f t="shared" si="259"/>
        <v>0</v>
      </c>
      <c r="BN51" s="23">
        <f t="shared" si="259"/>
        <v>0</v>
      </c>
      <c r="BO51" s="23">
        <f t="shared" si="259"/>
        <v>0</v>
      </c>
      <c r="BP51" s="23">
        <f t="shared" si="259"/>
        <v>0</v>
      </c>
      <c r="BQ51" s="23">
        <f t="shared" si="259"/>
        <v>0</v>
      </c>
      <c r="BR51" s="23">
        <f t="shared" si="259"/>
        <v>0</v>
      </c>
      <c r="BS51" s="23">
        <f t="shared" si="259"/>
        <v>0</v>
      </c>
      <c r="BT51" s="23">
        <f t="shared" si="259"/>
        <v>0</v>
      </c>
      <c r="BU51" s="23">
        <f t="shared" si="259"/>
        <v>0</v>
      </c>
      <c r="BV51" s="23">
        <f t="shared" si="259"/>
        <v>0</v>
      </c>
      <c r="BW51" s="23">
        <f t="shared" si="259"/>
        <v>0</v>
      </c>
      <c r="BX51" s="23">
        <f t="shared" si="259"/>
        <v>0</v>
      </c>
      <c r="BY51" s="23">
        <f t="shared" si="259"/>
        <v>0</v>
      </c>
      <c r="BZ51" s="23">
        <f t="shared" si="259"/>
        <v>0</v>
      </c>
      <c r="CA51" s="23">
        <f t="shared" si="259"/>
        <v>0</v>
      </c>
      <c r="CB51" s="23">
        <f t="shared" si="259"/>
        <v>0</v>
      </c>
      <c r="CC51" s="23">
        <f t="shared" si="259"/>
        <v>0</v>
      </c>
      <c r="CD51" s="23">
        <f t="shared" si="259"/>
        <v>0</v>
      </c>
      <c r="CE51" s="23">
        <f t="shared" si="259"/>
        <v>0</v>
      </c>
      <c r="CF51" s="23">
        <f t="shared" si="259"/>
        <v>0</v>
      </c>
      <c r="CG51" s="23">
        <f t="shared" si="259"/>
        <v>0</v>
      </c>
      <c r="CH51" s="23">
        <f t="shared" si="259"/>
        <v>0</v>
      </c>
      <c r="CI51" s="23">
        <f t="shared" si="259"/>
        <v>0</v>
      </c>
      <c r="CJ51" s="23">
        <f t="shared" si="259"/>
        <v>0</v>
      </c>
      <c r="CK51" s="23">
        <f t="shared" si="259"/>
        <v>0</v>
      </c>
      <c r="CL51" s="23">
        <f>SUM(CL23,CL16,CL9,CL2,CL37,CL44,CL30)</f>
        <v>0</v>
      </c>
      <c r="CM51" s="23">
        <f t="shared" ref="CM51:EX51" si="260">SUM(CM23,CM16,CM9,CM2,CM37,CM44,CM30)</f>
        <v>0</v>
      </c>
      <c r="CN51" s="23">
        <f t="shared" si="260"/>
        <v>0</v>
      </c>
      <c r="CO51" s="23">
        <f t="shared" si="260"/>
        <v>0</v>
      </c>
      <c r="CP51" s="23">
        <f t="shared" si="260"/>
        <v>0</v>
      </c>
      <c r="CQ51" s="23">
        <f t="shared" si="260"/>
        <v>0</v>
      </c>
      <c r="CR51" s="23">
        <f t="shared" si="260"/>
        <v>0</v>
      </c>
      <c r="CS51" s="23">
        <f t="shared" si="260"/>
        <v>0</v>
      </c>
      <c r="CT51" s="23">
        <f t="shared" si="260"/>
        <v>0</v>
      </c>
      <c r="CU51" s="23">
        <f t="shared" si="260"/>
        <v>0</v>
      </c>
      <c r="CV51" s="23">
        <f t="shared" si="260"/>
        <v>0</v>
      </c>
      <c r="CW51" s="23">
        <f t="shared" si="260"/>
        <v>0</v>
      </c>
      <c r="CX51" s="23">
        <f t="shared" si="260"/>
        <v>0</v>
      </c>
      <c r="CY51" s="23">
        <f t="shared" si="260"/>
        <v>0</v>
      </c>
      <c r="CZ51" s="23">
        <f t="shared" si="260"/>
        <v>0</v>
      </c>
      <c r="DA51" s="23">
        <f t="shared" si="260"/>
        <v>0</v>
      </c>
      <c r="DB51" s="23">
        <f t="shared" si="260"/>
        <v>0</v>
      </c>
      <c r="DC51" s="23">
        <f t="shared" si="260"/>
        <v>0</v>
      </c>
      <c r="DD51" s="23">
        <f t="shared" si="260"/>
        <v>0</v>
      </c>
      <c r="DE51" s="23">
        <f t="shared" si="260"/>
        <v>0</v>
      </c>
      <c r="DF51" s="23">
        <f t="shared" si="260"/>
        <v>0</v>
      </c>
      <c r="DG51" s="23">
        <f t="shared" si="260"/>
        <v>0</v>
      </c>
      <c r="DH51" s="23">
        <f t="shared" si="260"/>
        <v>0</v>
      </c>
      <c r="DI51" s="23">
        <f t="shared" si="260"/>
        <v>0</v>
      </c>
      <c r="DJ51" s="23">
        <f t="shared" si="260"/>
        <v>0</v>
      </c>
      <c r="DK51" s="23">
        <f t="shared" si="260"/>
        <v>0</v>
      </c>
      <c r="DL51" s="23">
        <f t="shared" si="260"/>
        <v>0</v>
      </c>
      <c r="DM51" s="23">
        <f t="shared" si="260"/>
        <v>0</v>
      </c>
      <c r="DN51" s="23">
        <f t="shared" si="260"/>
        <v>0</v>
      </c>
      <c r="DO51" s="23">
        <f t="shared" si="260"/>
        <v>0</v>
      </c>
      <c r="DP51" s="23">
        <f t="shared" si="260"/>
        <v>0</v>
      </c>
      <c r="DQ51" s="23">
        <f t="shared" si="260"/>
        <v>0</v>
      </c>
      <c r="DR51" s="23">
        <f t="shared" si="260"/>
        <v>0</v>
      </c>
      <c r="DS51" s="23">
        <f t="shared" si="260"/>
        <v>0</v>
      </c>
      <c r="DT51" s="23">
        <f t="shared" si="260"/>
        <v>0</v>
      </c>
      <c r="DU51" s="23">
        <f t="shared" si="260"/>
        <v>0</v>
      </c>
      <c r="DV51" s="23">
        <f t="shared" si="260"/>
        <v>0</v>
      </c>
      <c r="DW51" s="23">
        <f t="shared" si="260"/>
        <v>0</v>
      </c>
      <c r="DX51" s="23">
        <f t="shared" si="260"/>
        <v>0</v>
      </c>
      <c r="DY51" s="23">
        <f t="shared" si="260"/>
        <v>0</v>
      </c>
      <c r="DZ51" s="23">
        <f t="shared" si="260"/>
        <v>0</v>
      </c>
      <c r="EA51" s="23">
        <f t="shared" si="260"/>
        <v>0</v>
      </c>
      <c r="EB51" s="23">
        <f t="shared" si="260"/>
        <v>0</v>
      </c>
      <c r="EC51" s="23">
        <f t="shared" si="260"/>
        <v>0</v>
      </c>
      <c r="ED51" s="23">
        <f t="shared" si="260"/>
        <v>0</v>
      </c>
      <c r="EE51" s="23">
        <f t="shared" si="260"/>
        <v>0</v>
      </c>
      <c r="EF51" s="23">
        <f t="shared" si="260"/>
        <v>0</v>
      </c>
      <c r="EG51" s="23">
        <f t="shared" si="260"/>
        <v>0</v>
      </c>
      <c r="EH51" s="23">
        <f t="shared" si="260"/>
        <v>0</v>
      </c>
      <c r="EI51" s="23">
        <f t="shared" si="260"/>
        <v>0</v>
      </c>
      <c r="EJ51" s="23">
        <f t="shared" si="260"/>
        <v>0</v>
      </c>
      <c r="EK51" s="23">
        <f t="shared" si="260"/>
        <v>0</v>
      </c>
      <c r="EL51" s="23">
        <f t="shared" si="260"/>
        <v>0</v>
      </c>
      <c r="EM51" s="23">
        <f t="shared" si="260"/>
        <v>0</v>
      </c>
      <c r="EN51" s="23">
        <f t="shared" si="260"/>
        <v>0</v>
      </c>
      <c r="EO51" s="23">
        <f t="shared" si="260"/>
        <v>0</v>
      </c>
      <c r="EP51" s="23">
        <f t="shared" si="260"/>
        <v>0</v>
      </c>
      <c r="EQ51" s="23">
        <f t="shared" si="260"/>
        <v>0</v>
      </c>
      <c r="ER51" s="23">
        <f t="shared" si="260"/>
        <v>0</v>
      </c>
      <c r="ES51" s="23">
        <f t="shared" si="260"/>
        <v>0</v>
      </c>
      <c r="ET51" s="23">
        <f t="shared" si="260"/>
        <v>0</v>
      </c>
      <c r="EU51" s="23">
        <f t="shared" si="260"/>
        <v>0</v>
      </c>
      <c r="EV51" s="23">
        <f t="shared" si="260"/>
        <v>0</v>
      </c>
      <c r="EW51" s="23">
        <f t="shared" si="260"/>
        <v>0</v>
      </c>
      <c r="EX51" s="23">
        <f t="shared" si="260"/>
        <v>0</v>
      </c>
      <c r="EY51" s="23">
        <f t="shared" ref="EY51:EY53" si="261">SUM(EY23,EY16,EY9,EY2,EY37,EY44,EY30)</f>
        <v>0</v>
      </c>
    </row>
    <row r="52" spans="1:155" x14ac:dyDescent="0.3">
      <c r="A52" s="36"/>
      <c r="B52" s="36"/>
      <c r="C52" s="38"/>
      <c r="D52" s="15" t="s">
        <v>14</v>
      </c>
      <c r="E52" s="21">
        <f>SUM(E24,E17,E10,E3,E38,E45)</f>
        <v>316.53242391242338</v>
      </c>
      <c r="F52" s="21">
        <f t="shared" ref="F52:AK52" si="262">SUM(F24,F17,F10,F3,)</f>
        <v>340.04197115033679</v>
      </c>
      <c r="G52" s="21">
        <f t="shared" si="262"/>
        <v>395.6527862592734</v>
      </c>
      <c r="H52" s="21">
        <f t="shared" si="262"/>
        <v>372.94445721447022</v>
      </c>
      <c r="I52" s="21">
        <f t="shared" si="262"/>
        <v>363.07848179270462</v>
      </c>
      <c r="J52" s="21">
        <f t="shared" si="262"/>
        <v>370.15530063703443</v>
      </c>
      <c r="K52" s="21">
        <f t="shared" si="262"/>
        <v>329.11024389614965</v>
      </c>
      <c r="L52" s="21">
        <f t="shared" si="262"/>
        <v>302.01033343010977</v>
      </c>
      <c r="M52" s="21">
        <f t="shared" si="262"/>
        <v>294.43821826135144</v>
      </c>
      <c r="N52" s="21">
        <f t="shared" si="262"/>
        <v>286.2902783158022</v>
      </c>
      <c r="O52" s="21">
        <f t="shared" si="262"/>
        <v>281.6967550796299</v>
      </c>
      <c r="P52" s="21">
        <f t="shared" si="262"/>
        <v>299.12525498393745</v>
      </c>
      <c r="Q52" s="21">
        <f t="shared" si="262"/>
        <v>289.92525226654521</v>
      </c>
      <c r="R52" s="21">
        <f t="shared" si="262"/>
        <v>293.01541619548846</v>
      </c>
      <c r="S52" s="21">
        <f t="shared" si="262"/>
        <v>302.4723004144646</v>
      </c>
      <c r="T52" s="21">
        <f t="shared" si="262"/>
        <v>328.41745515052759</v>
      </c>
      <c r="U52" s="21">
        <f t="shared" si="262"/>
        <v>314.70992214504838</v>
      </c>
      <c r="V52" s="21">
        <f t="shared" si="262"/>
        <v>322.82434617224845</v>
      </c>
      <c r="W52" s="21">
        <f t="shared" si="262"/>
        <v>324.35256895582091</v>
      </c>
      <c r="X52" s="21">
        <f t="shared" si="262"/>
        <v>257.27710279767672</v>
      </c>
      <c r="Y52" s="21">
        <f t="shared" si="262"/>
        <v>256.48263908782837</v>
      </c>
      <c r="Z52" s="21">
        <f t="shared" si="262"/>
        <v>242.89957218445539</v>
      </c>
      <c r="AA52" s="21">
        <f t="shared" si="262"/>
        <v>250.71296831959114</v>
      </c>
      <c r="AB52" s="21">
        <f t="shared" si="262"/>
        <v>219.08259093857333</v>
      </c>
      <c r="AC52" s="21">
        <f t="shared" si="262"/>
        <v>230.30523870607431</v>
      </c>
      <c r="AD52" s="21">
        <f t="shared" si="262"/>
        <v>219.35479059292862</v>
      </c>
      <c r="AE52" s="21">
        <f t="shared" si="262"/>
        <v>211.54679370955171</v>
      </c>
      <c r="AF52" s="21">
        <f t="shared" si="262"/>
        <v>208.52278429283632</v>
      </c>
      <c r="AG52" s="21">
        <f t="shared" si="262"/>
        <v>208.73710552196127</v>
      </c>
      <c r="AH52" s="21">
        <f t="shared" si="262"/>
        <v>209.24141124562465</v>
      </c>
      <c r="AI52" s="21">
        <f t="shared" si="262"/>
        <v>181.7207235945807</v>
      </c>
      <c r="AJ52" s="21">
        <f t="shared" si="262"/>
        <v>191.32184108996759</v>
      </c>
      <c r="AK52" s="21">
        <f t="shared" si="262"/>
        <v>182.66395833452174</v>
      </c>
      <c r="AL52" s="21">
        <f t="shared" ref="AL52:BH52" si="263">SUM(AL24,AL17,AL10,AL3,)</f>
        <v>170.12434370655006</v>
      </c>
      <c r="AM52" s="21">
        <f t="shared" si="263"/>
        <v>159.95743960377405</v>
      </c>
      <c r="AN52" s="21">
        <f t="shared" si="263"/>
        <v>159.07855124367592</v>
      </c>
      <c r="AO52" s="21">
        <f t="shared" si="263"/>
        <v>158.91156278770529</v>
      </c>
      <c r="AP52" s="21">
        <f t="shared" si="263"/>
        <v>144.60639548611371</v>
      </c>
      <c r="AQ52" s="21">
        <f t="shared" si="263"/>
        <v>148.72144931306849</v>
      </c>
      <c r="AR52" s="21">
        <f t="shared" si="263"/>
        <v>149.16152393354733</v>
      </c>
      <c r="AS52" s="21">
        <f t="shared" si="263"/>
        <v>122.24395511763413</v>
      </c>
      <c r="AT52" s="21">
        <f t="shared" si="263"/>
        <v>152.34279228095011</v>
      </c>
      <c r="AU52" s="21">
        <f t="shared" si="263"/>
        <v>146.10258471975297</v>
      </c>
      <c r="AV52" s="21">
        <f t="shared" si="263"/>
        <v>141.84655207731157</v>
      </c>
      <c r="AW52" s="21">
        <f t="shared" si="263"/>
        <v>109.55224690397075</v>
      </c>
      <c r="AX52" s="21">
        <f t="shared" si="263"/>
        <v>141.98782608695652</v>
      </c>
      <c r="AY52" s="21">
        <f t="shared" si="263"/>
        <v>158.56521739130434</v>
      </c>
      <c r="AZ52" s="21">
        <f t="shared" si="263"/>
        <v>154.66666666666669</v>
      </c>
      <c r="BA52" s="21">
        <f t="shared" si="263"/>
        <v>133.33333333333331</v>
      </c>
      <c r="BB52" s="21">
        <f t="shared" si="263"/>
        <v>155.66666666666669</v>
      </c>
      <c r="BC52" s="21">
        <f t="shared" si="263"/>
        <v>161</v>
      </c>
      <c r="BD52" s="21">
        <f t="shared" si="263"/>
        <v>159.22222222222223</v>
      </c>
      <c r="BE52" s="21">
        <f t="shared" si="263"/>
        <v>153.88888888888889</v>
      </c>
      <c r="BF52" s="21">
        <f t="shared" si="263"/>
        <v>162.77777777777777</v>
      </c>
      <c r="BG52" s="21">
        <f t="shared" si="263"/>
        <v>159.22222222222223</v>
      </c>
      <c r="BH52" s="21">
        <f t="shared" si="263"/>
        <v>155.44444444444446</v>
      </c>
      <c r="BI52" s="21">
        <f t="shared" ref="BI52:CK52" si="264">SUM(BI24,BI17,BI10,BI3,BI38,BI45)</f>
        <v>147.55555555555554</v>
      </c>
      <c r="BJ52" s="21">
        <f t="shared" si="264"/>
        <v>175.55555555555554</v>
      </c>
      <c r="BK52" s="21">
        <f t="shared" si="264"/>
        <v>168.29411764705884</v>
      </c>
      <c r="BL52" s="21">
        <f t="shared" si="264"/>
        <v>170.1764705882353</v>
      </c>
      <c r="BM52" s="21">
        <f t="shared" si="264"/>
        <v>158.76470588235293</v>
      </c>
      <c r="BN52" s="21">
        <f t="shared" si="264"/>
        <v>166.88235294117646</v>
      </c>
      <c r="BO52" s="21">
        <f t="shared" si="264"/>
        <v>171.41176470588235</v>
      </c>
      <c r="BP52" s="21">
        <f t="shared" si="264"/>
        <v>177.05882352941177</v>
      </c>
      <c r="BQ52" s="21">
        <f t="shared" si="264"/>
        <v>170.41176470588235</v>
      </c>
      <c r="BR52" s="21">
        <f t="shared" si="264"/>
        <v>169.41176470588235</v>
      </c>
      <c r="BS52" s="21">
        <f t="shared" si="264"/>
        <v>160.37647058823529</v>
      </c>
      <c r="BT52" s="21">
        <f t="shared" si="264"/>
        <v>184.47058823529414</v>
      </c>
      <c r="BU52" s="21">
        <f t="shared" si="264"/>
        <v>176.8235294117647</v>
      </c>
      <c r="BV52" s="21">
        <f t="shared" si="264"/>
        <v>169.29411764705884</v>
      </c>
      <c r="BW52" s="21">
        <f t="shared" si="264"/>
        <v>171.1764705882353</v>
      </c>
      <c r="BX52" s="21">
        <f t="shared" si="264"/>
        <v>135.88235294117646</v>
      </c>
      <c r="BY52" s="21">
        <f t="shared" si="264"/>
        <v>149.58823529411765</v>
      </c>
      <c r="BZ52" s="21">
        <f t="shared" si="264"/>
        <v>136.41176470588235</v>
      </c>
      <c r="CA52" s="21">
        <f t="shared" si="264"/>
        <v>138.29411764705884</v>
      </c>
      <c r="CB52" s="21">
        <f t="shared" si="264"/>
        <v>135.82608695652175</v>
      </c>
      <c r="CC52" s="21">
        <f t="shared" si="264"/>
        <v>141.52173913043475</v>
      </c>
      <c r="CD52" s="21">
        <f t="shared" si="264"/>
        <v>134.56521739130434</v>
      </c>
      <c r="CE52" s="21">
        <f t="shared" si="264"/>
        <v>135.05882352941177</v>
      </c>
      <c r="CF52" s="21">
        <f t="shared" si="264"/>
        <v>136.94117647058823</v>
      </c>
      <c r="CG52" s="21">
        <f t="shared" si="264"/>
        <v>102.81176470588235</v>
      </c>
      <c r="CH52" s="21">
        <f t="shared" si="264"/>
        <v>116.23529411764706</v>
      </c>
      <c r="CI52" s="21">
        <f t="shared" si="264"/>
        <v>105.75862068965517</v>
      </c>
      <c r="CJ52" s="21">
        <f t="shared" si="264"/>
        <v>109.59770114942529</v>
      </c>
      <c r="CK52" s="21">
        <f t="shared" si="264"/>
        <v>108.43678160919539</v>
      </c>
      <c r="CL52" s="21">
        <f>SUM(CL24,CL17,CL10,CL3,CL38,CL45,CL31)</f>
        <v>100.08045977011494</v>
      </c>
      <c r="CM52" s="21">
        <f t="shared" ref="CM52:EX52" si="265">SUM(CM24,CM17,CM10,CM3,CM38,CM45,CM31)</f>
        <v>93.727272727272734</v>
      </c>
      <c r="CN52" s="21">
        <f t="shared" si="265"/>
        <v>92.727272727272734</v>
      </c>
      <c r="CO52" s="21">
        <f t="shared" si="265"/>
        <v>96.36363636363636</v>
      </c>
      <c r="CP52" s="21">
        <f t="shared" si="265"/>
        <v>103.63636363636364</v>
      </c>
      <c r="CQ52" s="21">
        <f t="shared" si="265"/>
        <v>100</v>
      </c>
      <c r="CR52" s="21">
        <f t="shared" si="265"/>
        <v>95.36363636363636</v>
      </c>
      <c r="CS52" s="21">
        <f t="shared" si="265"/>
        <v>69.909090909090907</v>
      </c>
      <c r="CT52" s="21">
        <f t="shared" si="265"/>
        <v>90</v>
      </c>
      <c r="CU52" s="21">
        <f t="shared" si="265"/>
        <v>82.727272727272734</v>
      </c>
      <c r="CV52" s="21">
        <f t="shared" si="265"/>
        <v>75.454545454545453</v>
      </c>
      <c r="CW52" s="21">
        <f t="shared" si="265"/>
        <v>42</v>
      </c>
      <c r="CX52" s="21">
        <f t="shared" si="265"/>
        <v>66.727272727272734</v>
      </c>
      <c r="CY52" s="21">
        <f t="shared" si="265"/>
        <v>106.36363636363636</v>
      </c>
      <c r="CZ52" s="21">
        <f t="shared" si="265"/>
        <v>99.090909090909093</v>
      </c>
      <c r="DA52" s="21">
        <f t="shared" si="265"/>
        <v>76.909090909090907</v>
      </c>
      <c r="DB52" s="21">
        <f t="shared" si="265"/>
        <v>100.90909090909091</v>
      </c>
      <c r="DC52" s="21">
        <f t="shared" si="265"/>
        <v>99.090909090909093</v>
      </c>
      <c r="DD52" s="21">
        <f t="shared" si="265"/>
        <v>91.818181818181813</v>
      </c>
      <c r="DE52" s="21">
        <f t="shared" si="265"/>
        <v>103.63636363636364</v>
      </c>
      <c r="DF52" s="21">
        <f t="shared" si="265"/>
        <v>105.45454545454545</v>
      </c>
      <c r="DG52" s="21">
        <f t="shared" si="265"/>
        <v>112.72727272727273</v>
      </c>
      <c r="DH52" s="21">
        <f t="shared" si="265"/>
        <v>109.09090909090909</v>
      </c>
      <c r="DI52" s="21">
        <f t="shared" si="265"/>
        <v>103.63636363636364</v>
      </c>
      <c r="DJ52" s="21">
        <f t="shared" si="265"/>
        <v>103.63636363636364</v>
      </c>
      <c r="DK52" s="21">
        <f t="shared" si="265"/>
        <v>116.36363636363636</v>
      </c>
      <c r="DL52" s="21">
        <f t="shared" si="265"/>
        <v>110.90909090909091</v>
      </c>
      <c r="DM52" s="21">
        <f t="shared" si="265"/>
        <v>110.96969696969697</v>
      </c>
      <c r="DN52" s="21">
        <f t="shared" si="265"/>
        <v>117.13725490196079</v>
      </c>
      <c r="DO52" s="21">
        <f t="shared" si="265"/>
        <v>126.54901960784315</v>
      </c>
      <c r="DP52" s="21">
        <f t="shared" si="265"/>
        <v>128.38363171355496</v>
      </c>
      <c r="DQ52" s="21">
        <f t="shared" si="265"/>
        <v>134.70588235294119</v>
      </c>
      <c r="DR52" s="21">
        <f t="shared" si="265"/>
        <v>130.78431372549019</v>
      </c>
      <c r="DS52" s="21">
        <f t="shared" si="265"/>
        <v>125.95294117647059</v>
      </c>
      <c r="DT52" s="21">
        <f t="shared" si="265"/>
        <v>150.39215686274511</v>
      </c>
      <c r="DU52" s="21">
        <f t="shared" si="265"/>
        <v>142.86274509803923</v>
      </c>
      <c r="DV52" s="21">
        <f t="shared" si="265"/>
        <v>140.98039215686273</v>
      </c>
      <c r="DW52" s="21">
        <f t="shared" si="265"/>
        <v>145.99286987522282</v>
      </c>
      <c r="DX52" s="21">
        <f t="shared" si="265"/>
        <v>118.25575757575757</v>
      </c>
      <c r="DY52" s="21">
        <f t="shared" si="265"/>
        <v>141.84848484848484</v>
      </c>
      <c r="DZ52" s="21">
        <f t="shared" si="265"/>
        <v>134.57575757575756</v>
      </c>
      <c r="EA52" s="21">
        <f t="shared" si="265"/>
        <v>134.57575757575756</v>
      </c>
      <c r="EB52" s="21">
        <f t="shared" si="265"/>
        <v>140.03030303030303</v>
      </c>
      <c r="EC52" s="21">
        <f t="shared" si="265"/>
        <v>148.95151515151514</v>
      </c>
      <c r="ED52" s="21">
        <f t="shared" si="265"/>
        <v>137.04242424242423</v>
      </c>
      <c r="EE52" s="21">
        <f t="shared" si="265"/>
        <v>138.04242424242423</v>
      </c>
      <c r="EF52" s="21">
        <f t="shared" si="265"/>
        <v>154.86060606060607</v>
      </c>
      <c r="EG52" s="21">
        <f t="shared" si="265"/>
        <v>163.86666666666667</v>
      </c>
      <c r="EH52" s="21">
        <f t="shared" si="265"/>
        <v>140.95757575757577</v>
      </c>
      <c r="EI52" s="21">
        <f t="shared" si="265"/>
        <v>151.95757575757577</v>
      </c>
      <c r="EJ52" s="21">
        <f t="shared" si="265"/>
        <v>161.95757575757577</v>
      </c>
      <c r="EK52" s="21">
        <f t="shared" si="265"/>
        <v>169.23030303030302</v>
      </c>
      <c r="EL52" s="21">
        <f t="shared" si="265"/>
        <v>160.22424242424242</v>
      </c>
      <c r="EM52" s="21">
        <f t="shared" si="265"/>
        <v>153.76969696969698</v>
      </c>
      <c r="EN52" s="21">
        <f t="shared" si="265"/>
        <v>153.76969696969698</v>
      </c>
      <c r="EO52" s="21">
        <f t="shared" si="265"/>
        <v>160.58787878787879</v>
      </c>
      <c r="EP52" s="21">
        <f t="shared" si="265"/>
        <v>156.95151515151514</v>
      </c>
      <c r="EQ52" s="21">
        <f t="shared" si="265"/>
        <v>170.4969696969697</v>
      </c>
      <c r="ER52" s="21">
        <f t="shared" si="265"/>
        <v>166.86060606060607</v>
      </c>
      <c r="ES52" s="21">
        <f t="shared" si="265"/>
        <v>140.67878787878789</v>
      </c>
      <c r="ET52" s="21">
        <f t="shared" si="265"/>
        <v>174.13333333333333</v>
      </c>
      <c r="EU52" s="21">
        <f t="shared" si="265"/>
        <v>149.07805414361897</v>
      </c>
      <c r="EV52" s="21">
        <f t="shared" si="265"/>
        <v>141.80532687089169</v>
      </c>
      <c r="EW52" s="21">
        <f t="shared" si="265"/>
        <v>112.71441777998261</v>
      </c>
      <c r="EX52" s="21">
        <f t="shared" si="265"/>
        <v>168.01597424055564</v>
      </c>
      <c r="EY52" s="21">
        <f t="shared" si="261"/>
        <v>98.272727272727295</v>
      </c>
    </row>
    <row r="53" spans="1:155" x14ac:dyDescent="0.3">
      <c r="A53" s="36"/>
      <c r="B53" s="36"/>
      <c r="C53" s="38"/>
      <c r="D53" s="15" t="s">
        <v>28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>
        <f t="shared" ref="X53:BH53" si="266">SUM(X26,X18,X11,X4,)</f>
        <v>86</v>
      </c>
      <c r="Y53" s="21">
        <f t="shared" si="266"/>
        <v>91</v>
      </c>
      <c r="Z53" s="21">
        <f t="shared" si="266"/>
        <v>97</v>
      </c>
      <c r="AA53" s="21">
        <f t="shared" si="266"/>
        <v>96</v>
      </c>
      <c r="AB53" s="21">
        <f t="shared" si="266"/>
        <v>272.63200701252867</v>
      </c>
      <c r="AC53" s="21">
        <f t="shared" si="266"/>
        <v>275.63357386651251</v>
      </c>
      <c r="AD53" s="21">
        <f t="shared" si="266"/>
        <v>261.84376710043705</v>
      </c>
      <c r="AE53" s="21">
        <f t="shared" si="266"/>
        <v>256.99244782547214</v>
      </c>
      <c r="AF53" s="21">
        <f t="shared" si="266"/>
        <v>247.84485570269692</v>
      </c>
      <c r="AG53" s="21">
        <f t="shared" si="266"/>
        <v>245.85164228005291</v>
      </c>
      <c r="AH53" s="21">
        <f t="shared" si="266"/>
        <v>257.89243195488802</v>
      </c>
      <c r="AI53" s="21">
        <f t="shared" si="266"/>
        <v>235.94821690151713</v>
      </c>
      <c r="AJ53" s="21">
        <f t="shared" si="266"/>
        <v>244.05722908632805</v>
      </c>
      <c r="AK53" s="21">
        <f t="shared" si="266"/>
        <v>247.34560251188097</v>
      </c>
      <c r="AL53" s="21">
        <f t="shared" si="266"/>
        <v>233.96825073836652</v>
      </c>
      <c r="AM53" s="21">
        <f t="shared" si="266"/>
        <v>193.7055852171639</v>
      </c>
      <c r="AN53" s="21">
        <f t="shared" si="266"/>
        <v>197.98638220058513</v>
      </c>
      <c r="AO53" s="21">
        <f t="shared" si="266"/>
        <v>175.14400486963791</v>
      </c>
      <c r="AP53" s="21">
        <f t="shared" si="266"/>
        <v>164.60071955331006</v>
      </c>
      <c r="AQ53" s="21">
        <f t="shared" si="266"/>
        <v>171.4013593079784</v>
      </c>
      <c r="AR53" s="21">
        <f t="shared" si="266"/>
        <v>170.74569563498716</v>
      </c>
      <c r="AS53" s="21">
        <f t="shared" si="266"/>
        <v>147.77173220707044</v>
      </c>
      <c r="AT53" s="21">
        <f t="shared" si="266"/>
        <v>170.1784140205869</v>
      </c>
      <c r="AU53" s="21">
        <f t="shared" si="266"/>
        <v>166.31143713663187</v>
      </c>
      <c r="AV53" s="21">
        <f t="shared" si="266"/>
        <v>160.75782600685986</v>
      </c>
      <c r="AW53" s="21">
        <f t="shared" si="266"/>
        <v>121.42498434026641</v>
      </c>
      <c r="AX53" s="21">
        <f t="shared" si="266"/>
        <v>139.38546398442568</v>
      </c>
      <c r="AY53" s="21">
        <f t="shared" si="266"/>
        <v>172.82414016872161</v>
      </c>
      <c r="AZ53" s="21">
        <f t="shared" si="266"/>
        <v>176.36318407960198</v>
      </c>
      <c r="BA53" s="21">
        <f t="shared" si="266"/>
        <v>147.51409135082605</v>
      </c>
      <c r="BB53" s="21">
        <f t="shared" si="266"/>
        <v>173.86037364798426</v>
      </c>
      <c r="BC53" s="21">
        <f t="shared" si="266"/>
        <v>173.15339233038347</v>
      </c>
      <c r="BD53" s="21">
        <f t="shared" si="266"/>
        <v>183.82756346851301</v>
      </c>
      <c r="BE53" s="21">
        <f t="shared" si="266"/>
        <v>174.49719749423014</v>
      </c>
      <c r="BF53" s="21">
        <f t="shared" si="266"/>
        <v>184.46366894753993</v>
      </c>
      <c r="BG53" s="21">
        <f t="shared" si="266"/>
        <v>170.29292929292927</v>
      </c>
      <c r="BH53" s="21">
        <f t="shared" si="266"/>
        <v>178.58169934640523</v>
      </c>
      <c r="BI53" s="21">
        <f t="shared" ref="BI53:CK53" si="267">SUM(BI26,BI18,BI11,BI4,BI39,BI46)</f>
        <v>169.81722550953319</v>
      </c>
      <c r="BJ53" s="21">
        <f t="shared" si="267"/>
        <v>198.06734006734007</v>
      </c>
      <c r="BK53" s="21">
        <f t="shared" si="267"/>
        <v>191.34749925627091</v>
      </c>
      <c r="BL53" s="21">
        <f t="shared" si="267"/>
        <v>193.37104072398191</v>
      </c>
      <c r="BM53" s="21">
        <f t="shared" si="267"/>
        <v>175.56106373753431</v>
      </c>
      <c r="BN53" s="21">
        <f t="shared" si="267"/>
        <v>185.6884357235073</v>
      </c>
      <c r="BO53" s="21">
        <f t="shared" si="267"/>
        <v>194.91251645576904</v>
      </c>
      <c r="BP53" s="21">
        <f t="shared" si="267"/>
        <v>198.66572514782558</v>
      </c>
      <c r="BQ53" s="21">
        <f t="shared" si="267"/>
        <v>190.96149020574819</v>
      </c>
      <c r="BR53" s="21">
        <f t="shared" si="267"/>
        <v>200.15744515628032</v>
      </c>
      <c r="BS53" s="21">
        <f t="shared" si="267"/>
        <v>176.53586461567158</v>
      </c>
      <c r="BT53" s="21">
        <f t="shared" si="267"/>
        <v>207.12336984282686</v>
      </c>
      <c r="BU53" s="21">
        <f t="shared" si="267"/>
        <v>203.18008688144437</v>
      </c>
      <c r="BV53" s="21">
        <f t="shared" si="267"/>
        <v>182.86045327221797</v>
      </c>
      <c r="BW53" s="21">
        <f t="shared" si="267"/>
        <v>182.75902005527507</v>
      </c>
      <c r="BX53" s="21">
        <f t="shared" si="267"/>
        <v>152.85550123079537</v>
      </c>
      <c r="BY53" s="21">
        <f t="shared" si="267"/>
        <v>162.89839572192514</v>
      </c>
      <c r="BZ53" s="21">
        <f t="shared" si="267"/>
        <v>148.02642515603355</v>
      </c>
      <c r="CA53" s="21">
        <f t="shared" si="267"/>
        <v>153.20135484724034</v>
      </c>
      <c r="CB53" s="21">
        <f t="shared" si="267"/>
        <v>155.82128504897065</v>
      </c>
      <c r="CC53" s="21">
        <f t="shared" si="267"/>
        <v>165.71479764698108</v>
      </c>
      <c r="CD53" s="21">
        <f t="shared" si="267"/>
        <v>152.69453158201856</v>
      </c>
      <c r="CE53" s="21">
        <f t="shared" si="267"/>
        <v>155.64695582012172</v>
      </c>
      <c r="CF53" s="21">
        <f t="shared" si="267"/>
        <v>157.10780117023955</v>
      </c>
      <c r="CG53" s="21">
        <f t="shared" si="267"/>
        <v>116.62576130401935</v>
      </c>
      <c r="CH53" s="21">
        <f t="shared" si="267"/>
        <v>131.88826188436198</v>
      </c>
      <c r="CI53" s="21">
        <f t="shared" si="267"/>
        <v>116.71442238115169</v>
      </c>
      <c r="CJ53" s="21">
        <f t="shared" si="267"/>
        <v>116.79696510073283</v>
      </c>
      <c r="CK53" s="21">
        <f t="shared" si="267"/>
        <v>119.87950782031398</v>
      </c>
      <c r="CL53" s="21">
        <f>SUM(CL25,CL18,CL11,CL4,CL39,CL46,CL32)</f>
        <v>109.34571682180136</v>
      </c>
      <c r="CM53" s="21">
        <f t="shared" ref="CM53:EX53" si="268">SUM(CM25,CM18,CM11,CM4,CM39,CM46,CM32)</f>
        <v>102.68735441462715</v>
      </c>
      <c r="CN53" s="21">
        <f t="shared" si="268"/>
        <v>101.68735441462715</v>
      </c>
      <c r="CO53" s="21">
        <f t="shared" si="268"/>
        <v>105.31058384430818</v>
      </c>
      <c r="CP53" s="21">
        <f t="shared" si="268"/>
        <v>113.43540135328993</v>
      </c>
      <c r="CQ53" s="21">
        <f t="shared" si="268"/>
        <v>109.37299259879906</v>
      </c>
      <c r="CR53" s="21">
        <f t="shared" si="268"/>
        <v>104.31058384430818</v>
      </c>
      <c r="CS53" s="21">
        <f t="shared" si="268"/>
        <v>75.873722562872132</v>
      </c>
      <c r="CT53" s="21">
        <f t="shared" si="268"/>
        <v>99.372992598799058</v>
      </c>
      <c r="CU53" s="21">
        <f t="shared" si="268"/>
        <v>91.248175089817337</v>
      </c>
      <c r="CV53" s="21">
        <f t="shared" si="268"/>
        <v>83.918176684975109</v>
      </c>
      <c r="CW53" s="21">
        <f t="shared" si="268"/>
        <v>46.137775268210049</v>
      </c>
      <c r="CX53" s="21">
        <f t="shared" si="268"/>
        <v>74.062419793645105</v>
      </c>
      <c r="CY53" s="21">
        <f t="shared" si="268"/>
        <v>118.82398234176891</v>
      </c>
      <c r="CZ53" s="21">
        <f t="shared" si="268"/>
        <v>110.6108515989939</v>
      </c>
      <c r="DA53" s="21">
        <f t="shared" si="268"/>
        <v>87.67143978418737</v>
      </c>
      <c r="DB53" s="21">
        <f t="shared" si="268"/>
        <v>115.53184753286328</v>
      </c>
      <c r="DC53" s="21">
        <f t="shared" si="268"/>
        <v>113.42121058220602</v>
      </c>
      <c r="DD53" s="21">
        <f t="shared" si="268"/>
        <v>104.97866277957695</v>
      </c>
      <c r="DE53" s="21">
        <f t="shared" si="268"/>
        <v>116.08929973023422</v>
      </c>
      <c r="DF53" s="21">
        <f t="shared" si="268"/>
        <v>118.92361373749067</v>
      </c>
      <c r="DG53" s="21">
        <f t="shared" si="268"/>
        <v>126.34264469387286</v>
      </c>
      <c r="DH53" s="21">
        <f t="shared" si="268"/>
        <v>123.13312921568176</v>
      </c>
      <c r="DI53" s="21">
        <f t="shared" si="268"/>
        <v>116.81885599839512</v>
      </c>
      <c r="DJ53" s="21">
        <f t="shared" si="268"/>
        <v>114.81885599839512</v>
      </c>
      <c r="DK53" s="21">
        <f t="shared" si="268"/>
        <v>129.55216017206394</v>
      </c>
      <c r="DL53" s="21">
        <f t="shared" si="268"/>
        <v>123.2378869547773</v>
      </c>
      <c r="DM53" s="21">
        <f t="shared" si="268"/>
        <v>126.73330048113658</v>
      </c>
      <c r="DN53" s="21">
        <f t="shared" si="268"/>
        <v>133.82858282258732</v>
      </c>
      <c r="DO53" s="21">
        <f t="shared" si="268"/>
        <v>144.31984702444024</v>
      </c>
      <c r="DP53" s="21">
        <f t="shared" si="268"/>
        <v>147.01809815966726</v>
      </c>
      <c r="DQ53" s="21">
        <f t="shared" si="268"/>
        <v>157.4279329834439</v>
      </c>
      <c r="DR53" s="21">
        <f t="shared" si="268"/>
        <v>149.64884193904987</v>
      </c>
      <c r="DS53" s="21">
        <f t="shared" si="268"/>
        <v>143.57791260714049</v>
      </c>
      <c r="DT53" s="21">
        <f t="shared" si="268"/>
        <v>170.09081800389112</v>
      </c>
      <c r="DU53" s="21">
        <f t="shared" si="268"/>
        <v>161.4073769190037</v>
      </c>
      <c r="DV53" s="21">
        <f t="shared" si="268"/>
        <v>159.45577170332103</v>
      </c>
      <c r="DW53" s="21">
        <f t="shared" si="268"/>
        <v>165.76411226833929</v>
      </c>
      <c r="DX53" s="21">
        <f t="shared" si="268"/>
        <v>135.81586954608551</v>
      </c>
      <c r="DY53" s="21">
        <f t="shared" si="268"/>
        <v>162.22177689215138</v>
      </c>
      <c r="DZ53" s="21">
        <f t="shared" si="268"/>
        <v>152.58986131412391</v>
      </c>
      <c r="EA53" s="21">
        <f t="shared" si="268"/>
        <v>152.58986131412391</v>
      </c>
      <c r="EB53" s="21">
        <f t="shared" si="268"/>
        <v>158.24014213931085</v>
      </c>
      <c r="EC53" s="21">
        <f t="shared" si="268"/>
        <v>168.30512728567103</v>
      </c>
      <c r="ED53" s="21">
        <f t="shared" si="268"/>
        <v>156.05516711982938</v>
      </c>
      <c r="EE53" s="21">
        <f t="shared" si="268"/>
        <v>155.19644343101993</v>
      </c>
      <c r="EF53" s="21">
        <f t="shared" si="268"/>
        <v>172.26044821951103</v>
      </c>
      <c r="EG53" s="21">
        <f t="shared" si="268"/>
        <v>182.47084028286022</v>
      </c>
      <c r="EH53" s="21">
        <f t="shared" si="268"/>
        <v>156.46437994787226</v>
      </c>
      <c r="EI53" s="21">
        <f t="shared" si="268"/>
        <v>169.08681155191357</v>
      </c>
      <c r="EJ53" s="21">
        <f t="shared" si="268"/>
        <v>179.08681155191357</v>
      </c>
      <c r="EK53" s="21">
        <f t="shared" si="268"/>
        <v>187.34283070587799</v>
      </c>
      <c r="EL53" s="21">
        <f t="shared" si="268"/>
        <v>177.13243864252883</v>
      </c>
      <c r="EM53" s="21">
        <f t="shared" si="268"/>
        <v>169.94042427705548</v>
      </c>
      <c r="EN53" s="21">
        <f t="shared" si="268"/>
        <v>169.94042427705548</v>
      </c>
      <c r="EO53" s="21">
        <f t="shared" si="268"/>
        <v>177.00442906554659</v>
      </c>
      <c r="EP53" s="21">
        <f t="shared" si="268"/>
        <v>172.87641948856438</v>
      </c>
      <c r="EQ53" s="21">
        <f t="shared" si="268"/>
        <v>185.68440512309104</v>
      </c>
      <c r="ER53" s="21">
        <f t="shared" si="268"/>
        <v>181.55639554610883</v>
      </c>
      <c r="ES53" s="21">
        <f t="shared" si="268"/>
        <v>151.83472659183684</v>
      </c>
      <c r="ET53" s="21">
        <f t="shared" si="268"/>
        <v>189.81241470007328</v>
      </c>
      <c r="EU53" s="21">
        <f t="shared" si="268"/>
        <v>156.15456195808102</v>
      </c>
      <c r="EV53" s="21">
        <f t="shared" si="268"/>
        <v>148.0297444490993</v>
      </c>
      <c r="EW53" s="21">
        <f t="shared" si="268"/>
        <v>115.53047441317236</v>
      </c>
      <c r="EX53" s="21">
        <f t="shared" si="268"/>
        <v>178.49781010778079</v>
      </c>
      <c r="EY53" s="21">
        <f t="shared" si="261"/>
        <v>108.49781010778079</v>
      </c>
    </row>
    <row r="54" spans="1:155" x14ac:dyDescent="0.3">
      <c r="A54" s="36"/>
      <c r="B54" s="36"/>
      <c r="C54" s="38"/>
      <c r="D54" s="15" t="s">
        <v>15</v>
      </c>
      <c r="E54" s="22">
        <f t="shared" ref="E54:AJ54" si="269">SUM(E26,E19,E12,E4,)</f>
        <v>357.83598258749998</v>
      </c>
      <c r="F54" s="22">
        <f t="shared" si="269"/>
        <v>346.79435000000001</v>
      </c>
      <c r="G54" s="22">
        <f t="shared" si="269"/>
        <v>376.44534999999996</v>
      </c>
      <c r="H54" s="22">
        <f t="shared" si="269"/>
        <v>357.26517597625002</v>
      </c>
      <c r="I54" s="22">
        <f t="shared" si="269"/>
        <v>357.55200000000002</v>
      </c>
      <c r="J54" s="22">
        <f t="shared" si="269"/>
        <v>352.49658499999998</v>
      </c>
      <c r="K54" s="22">
        <f t="shared" si="269"/>
        <v>329.59657795999999</v>
      </c>
      <c r="L54" s="22">
        <f t="shared" si="269"/>
        <v>339.26965440000004</v>
      </c>
      <c r="M54" s="22">
        <f t="shared" si="269"/>
        <v>334.73910982400002</v>
      </c>
      <c r="N54" s="22">
        <f t="shared" si="269"/>
        <v>322.86129382399997</v>
      </c>
      <c r="O54" s="22">
        <f t="shared" si="269"/>
        <v>302.10826015999999</v>
      </c>
      <c r="P54" s="22">
        <f t="shared" si="269"/>
        <v>319.58826016</v>
      </c>
      <c r="Q54" s="22">
        <f t="shared" si="269"/>
        <v>323.51326016000002</v>
      </c>
      <c r="R54" s="22">
        <f t="shared" si="269"/>
        <v>347.56826016000002</v>
      </c>
      <c r="S54" s="22">
        <f t="shared" si="269"/>
        <v>334.37326015999997</v>
      </c>
      <c r="T54" s="22">
        <f t="shared" si="269"/>
        <v>329.10726016000001</v>
      </c>
      <c r="U54" s="22">
        <f t="shared" si="269"/>
        <v>311.17891081417531</v>
      </c>
      <c r="V54" s="22">
        <f t="shared" si="269"/>
        <v>313.92726016</v>
      </c>
      <c r="W54" s="22">
        <f t="shared" si="269"/>
        <v>323.20442736445369</v>
      </c>
      <c r="X54" s="22">
        <f t="shared" si="269"/>
        <v>273.42241676358299</v>
      </c>
      <c r="Y54" s="22">
        <f t="shared" si="269"/>
        <v>272.14968968443765</v>
      </c>
      <c r="Z54" s="22">
        <f t="shared" si="269"/>
        <v>267.81403175075775</v>
      </c>
      <c r="AA54" s="22">
        <f t="shared" si="269"/>
        <v>260.15999459797058</v>
      </c>
      <c r="AB54" s="22">
        <f t="shared" si="269"/>
        <v>294.03999999999996</v>
      </c>
      <c r="AC54" s="22">
        <f t="shared" si="269"/>
        <v>274.88</v>
      </c>
      <c r="AD54" s="22">
        <f t="shared" si="269"/>
        <v>260.88</v>
      </c>
      <c r="AE54" s="22">
        <f t="shared" si="269"/>
        <v>252.88</v>
      </c>
      <c r="AF54" s="22">
        <f t="shared" si="269"/>
        <v>237.88</v>
      </c>
      <c r="AG54" s="22">
        <f t="shared" si="269"/>
        <v>242.88</v>
      </c>
      <c r="AH54" s="22">
        <f t="shared" si="269"/>
        <v>251.88</v>
      </c>
      <c r="AI54" s="22">
        <f t="shared" si="269"/>
        <v>239.88</v>
      </c>
      <c r="AJ54" s="22">
        <f t="shared" si="269"/>
        <v>248.88</v>
      </c>
      <c r="AK54" s="22">
        <f t="shared" ref="AK54:BH54" si="270">SUM(AK26,AK19,AK12,AK4,)</f>
        <v>249.88</v>
      </c>
      <c r="AL54" s="22">
        <f t="shared" si="270"/>
        <v>233.88</v>
      </c>
      <c r="AM54" s="22">
        <f t="shared" si="270"/>
        <v>200.88</v>
      </c>
      <c r="AN54" s="22">
        <f t="shared" si="270"/>
        <v>198.88</v>
      </c>
      <c r="AO54" s="22">
        <f t="shared" si="270"/>
        <v>183.87200000000001</v>
      </c>
      <c r="AP54" s="22">
        <f t="shared" si="270"/>
        <v>169.88</v>
      </c>
      <c r="AQ54" s="22">
        <f t="shared" si="270"/>
        <v>186.88</v>
      </c>
      <c r="AR54" s="22">
        <f t="shared" si="270"/>
        <v>175.88</v>
      </c>
      <c r="AS54" s="22">
        <f t="shared" si="270"/>
        <v>175.88</v>
      </c>
      <c r="AT54" s="22">
        <f t="shared" si="270"/>
        <v>181.88</v>
      </c>
      <c r="AU54" s="22">
        <f t="shared" si="270"/>
        <v>178.88</v>
      </c>
      <c r="AV54" s="22">
        <f t="shared" si="270"/>
        <v>174.88</v>
      </c>
      <c r="AW54" s="22">
        <f t="shared" si="270"/>
        <v>158.88</v>
      </c>
      <c r="AX54" s="22">
        <f t="shared" si="270"/>
        <v>185.55</v>
      </c>
      <c r="AY54" s="22">
        <f t="shared" si="270"/>
        <v>172.88</v>
      </c>
      <c r="AZ54" s="22">
        <f t="shared" si="270"/>
        <v>175.88</v>
      </c>
      <c r="BA54" s="22">
        <f t="shared" si="270"/>
        <v>162.88</v>
      </c>
      <c r="BB54" s="22">
        <f t="shared" si="270"/>
        <v>166.88</v>
      </c>
      <c r="BC54" s="22">
        <f t="shared" si="270"/>
        <v>155.88</v>
      </c>
      <c r="BD54" s="22">
        <f t="shared" si="270"/>
        <v>164.88</v>
      </c>
      <c r="BE54" s="22">
        <f t="shared" si="270"/>
        <v>177.88</v>
      </c>
      <c r="BF54" s="22">
        <f t="shared" si="270"/>
        <v>172.88</v>
      </c>
      <c r="BG54" s="22">
        <f t="shared" si="270"/>
        <v>178.88</v>
      </c>
      <c r="BH54" s="22">
        <f t="shared" si="270"/>
        <v>176.88</v>
      </c>
      <c r="BI54" s="22">
        <f t="shared" ref="BI54:CK54" si="271">SUM(BI26,BI19,BI12,BI4,BI40,BI47)</f>
        <v>171.88</v>
      </c>
      <c r="BJ54" s="22">
        <f t="shared" si="271"/>
        <v>202.88</v>
      </c>
      <c r="BK54" s="22">
        <f t="shared" si="271"/>
        <v>198.88</v>
      </c>
      <c r="BL54" s="22">
        <f t="shared" si="271"/>
        <v>192.88</v>
      </c>
      <c r="BM54" s="22">
        <f t="shared" si="271"/>
        <v>183.88</v>
      </c>
      <c r="BN54" s="22">
        <f t="shared" si="271"/>
        <v>198.88</v>
      </c>
      <c r="BO54" s="22">
        <f t="shared" si="271"/>
        <v>203.88</v>
      </c>
      <c r="BP54" s="22">
        <f t="shared" si="271"/>
        <v>195.88</v>
      </c>
      <c r="BQ54" s="22">
        <f t="shared" si="271"/>
        <v>201.88</v>
      </c>
      <c r="BR54" s="22">
        <f t="shared" si="271"/>
        <v>196.88</v>
      </c>
      <c r="BS54" s="22">
        <f t="shared" si="271"/>
        <v>210.88</v>
      </c>
      <c r="BT54" s="22">
        <f t="shared" si="271"/>
        <v>195.88</v>
      </c>
      <c r="BU54" s="22">
        <f t="shared" si="271"/>
        <v>202.88</v>
      </c>
      <c r="BV54" s="22">
        <f t="shared" si="271"/>
        <v>192.88</v>
      </c>
      <c r="BW54" s="22">
        <f t="shared" si="271"/>
        <v>195.88</v>
      </c>
      <c r="BX54" s="22">
        <f t="shared" si="271"/>
        <v>176.74</v>
      </c>
      <c r="BY54" s="22">
        <f t="shared" si="271"/>
        <v>158.88</v>
      </c>
      <c r="BZ54" s="22">
        <f t="shared" si="271"/>
        <v>149.88</v>
      </c>
      <c r="CA54" s="22">
        <f t="shared" si="271"/>
        <v>155.88</v>
      </c>
      <c r="CB54" s="22">
        <f t="shared" si="271"/>
        <v>156.88</v>
      </c>
      <c r="CC54" s="22">
        <f t="shared" si="271"/>
        <v>163.74</v>
      </c>
      <c r="CD54" s="22">
        <f t="shared" si="271"/>
        <v>156.77999999999997</v>
      </c>
      <c r="CE54" s="22">
        <f t="shared" si="271"/>
        <v>159.88</v>
      </c>
      <c r="CF54" s="22">
        <f t="shared" si="271"/>
        <v>158.88</v>
      </c>
      <c r="CG54" s="22">
        <f t="shared" si="271"/>
        <v>153.88</v>
      </c>
      <c r="CH54" s="22">
        <f t="shared" si="271"/>
        <v>150.88</v>
      </c>
      <c r="CI54" s="22">
        <f t="shared" si="271"/>
        <v>149.88</v>
      </c>
      <c r="CJ54" s="22">
        <f t="shared" si="271"/>
        <v>146</v>
      </c>
      <c r="CK54" s="22">
        <f t="shared" si="271"/>
        <v>143.88</v>
      </c>
      <c r="CL54" s="22">
        <f>SUM(CL26,CL19,CL12,CL4,CL40,CL47,CL33)</f>
        <v>140.88</v>
      </c>
      <c r="CM54" s="22">
        <f t="shared" ref="CM54:EX54" si="272">SUM(CM26,CM19,CM12,CM4,CM40,CM47,CM33)</f>
        <v>137.88</v>
      </c>
      <c r="CN54" s="22">
        <f t="shared" si="272"/>
        <v>133.88</v>
      </c>
      <c r="CO54" s="22">
        <f t="shared" si="272"/>
        <v>132.88</v>
      </c>
      <c r="CP54" s="22">
        <f t="shared" si="272"/>
        <v>131.88</v>
      </c>
      <c r="CQ54" s="22">
        <f t="shared" si="272"/>
        <v>129.88</v>
      </c>
      <c r="CR54" s="22">
        <f t="shared" si="272"/>
        <v>124.88</v>
      </c>
      <c r="CS54" s="22">
        <f t="shared" si="272"/>
        <v>123.88</v>
      </c>
      <c r="CT54" s="22">
        <f t="shared" si="272"/>
        <v>119.88</v>
      </c>
      <c r="CU54" s="22">
        <f t="shared" si="272"/>
        <v>115.88</v>
      </c>
      <c r="CV54" s="22">
        <f t="shared" si="272"/>
        <v>114.88</v>
      </c>
      <c r="CW54" s="22">
        <f t="shared" si="272"/>
        <v>111.88</v>
      </c>
      <c r="CX54" s="22">
        <f t="shared" si="272"/>
        <v>110.88</v>
      </c>
      <c r="CY54" s="22">
        <f t="shared" si="272"/>
        <v>111.88</v>
      </c>
      <c r="CZ54" s="22">
        <f t="shared" si="272"/>
        <v>108.41333333333331</v>
      </c>
      <c r="DA54" s="22">
        <f t="shared" si="272"/>
        <v>99.88</v>
      </c>
      <c r="DB54" s="22">
        <f t="shared" si="272"/>
        <v>98.88</v>
      </c>
      <c r="DC54" s="22">
        <f t="shared" si="272"/>
        <v>114.88</v>
      </c>
      <c r="DD54" s="22">
        <f t="shared" si="272"/>
        <v>114.88</v>
      </c>
      <c r="DE54" s="22">
        <f t="shared" si="272"/>
        <v>118.88</v>
      </c>
      <c r="DF54" s="22">
        <f t="shared" si="272"/>
        <v>115.88</v>
      </c>
      <c r="DG54" s="22">
        <f t="shared" si="272"/>
        <v>124.88</v>
      </c>
      <c r="DH54" s="22">
        <f t="shared" si="272"/>
        <v>122.88</v>
      </c>
      <c r="DI54" s="22">
        <f t="shared" si="272"/>
        <v>120.88</v>
      </c>
      <c r="DJ54" s="22">
        <f t="shared" si="272"/>
        <v>117.88</v>
      </c>
      <c r="DK54" s="22">
        <f t="shared" si="272"/>
        <v>119.88</v>
      </c>
      <c r="DL54" s="22">
        <f t="shared" si="272"/>
        <v>112.88</v>
      </c>
      <c r="DM54" s="22">
        <f t="shared" si="272"/>
        <v>123.79444448274145</v>
      </c>
      <c r="DN54" s="22">
        <f t="shared" si="272"/>
        <v>146.65163403648893</v>
      </c>
      <c r="DO54" s="22">
        <f t="shared" si="272"/>
        <v>145.24768170655312</v>
      </c>
      <c r="DP54" s="22">
        <f t="shared" si="272"/>
        <v>149.18278537507993</v>
      </c>
      <c r="DQ54" s="22">
        <f t="shared" si="272"/>
        <v>158.35576766555678</v>
      </c>
      <c r="DR54" s="22">
        <f t="shared" si="272"/>
        <v>161.98776388775184</v>
      </c>
      <c r="DS54" s="22">
        <f t="shared" si="272"/>
        <v>172.91350476034538</v>
      </c>
      <c r="DT54" s="22">
        <f t="shared" si="272"/>
        <v>171.74436335791091</v>
      </c>
      <c r="DU54" s="22">
        <f t="shared" si="272"/>
        <v>179.74436335791091</v>
      </c>
      <c r="DV54" s="22">
        <f t="shared" si="272"/>
        <v>176.96361841345009</v>
      </c>
      <c r="DW54" s="22">
        <f t="shared" si="272"/>
        <v>181.8982823860776</v>
      </c>
      <c r="DX54" s="22">
        <f t="shared" si="272"/>
        <v>158.07934214545014</v>
      </c>
      <c r="DY54" s="22">
        <f t="shared" si="272"/>
        <v>176.87167865455686</v>
      </c>
      <c r="DZ54" s="22">
        <f t="shared" si="272"/>
        <v>173.72788834928207</v>
      </c>
      <c r="EA54" s="22">
        <f t="shared" si="272"/>
        <v>169.72788834928207</v>
      </c>
      <c r="EB54" s="22">
        <f t="shared" si="272"/>
        <v>166.72788834928207</v>
      </c>
      <c r="EC54" s="22">
        <f t="shared" si="272"/>
        <v>168.60085913016891</v>
      </c>
      <c r="ED54" s="22">
        <f t="shared" si="272"/>
        <v>165.60085913016891</v>
      </c>
      <c r="EE54" s="22">
        <f t="shared" si="272"/>
        <v>163.87620400646446</v>
      </c>
      <c r="EF54" s="22">
        <f t="shared" si="272"/>
        <v>180.62620400646446</v>
      </c>
      <c r="EG54" s="22">
        <f t="shared" si="272"/>
        <v>179.01870191584919</v>
      </c>
      <c r="EH54" s="22">
        <f t="shared" si="272"/>
        <v>177.01870191584919</v>
      </c>
      <c r="EI54" s="22">
        <f t="shared" si="272"/>
        <v>183.2311769158492</v>
      </c>
      <c r="EJ54" s="22">
        <f t="shared" si="272"/>
        <v>180.40650691584921</v>
      </c>
      <c r="EK54" s="22">
        <f t="shared" si="272"/>
        <v>183.9874672283492</v>
      </c>
      <c r="EL54" s="22">
        <f t="shared" si="272"/>
        <v>178.39196108771444</v>
      </c>
      <c r="EM54" s="22">
        <f t="shared" si="272"/>
        <v>175.39196108771444</v>
      </c>
      <c r="EN54" s="22">
        <f t="shared" si="272"/>
        <v>183.29196108771444</v>
      </c>
      <c r="EO54" s="22">
        <f t="shared" si="272"/>
        <v>180.11339769571444</v>
      </c>
      <c r="EP54" s="22">
        <f t="shared" si="272"/>
        <v>178.11339769571444</v>
      </c>
      <c r="EQ54" s="22">
        <f t="shared" si="272"/>
        <v>195.73839769571444</v>
      </c>
      <c r="ER54" s="22">
        <f t="shared" si="272"/>
        <v>189.53562025459445</v>
      </c>
      <c r="ES54" s="22">
        <f t="shared" si="272"/>
        <v>187.53562025459445</v>
      </c>
      <c r="ET54" s="22">
        <f t="shared" si="272"/>
        <v>185.53562025459445</v>
      </c>
      <c r="EU54" s="22">
        <f t="shared" si="272"/>
        <v>148.77123312089168</v>
      </c>
      <c r="EV54" s="22">
        <f t="shared" si="272"/>
        <v>146.77123312089168</v>
      </c>
      <c r="EW54" s="22">
        <f t="shared" si="272"/>
        <v>144.77123312089168</v>
      </c>
      <c r="EX54" s="22">
        <f t="shared" si="272"/>
        <v>178.62324696782832</v>
      </c>
      <c r="EY54" s="22">
        <f t="shared" ref="EY54" si="273">SUM(EY26,EY19,EY12,EY4,EY40,EY47,EY33)</f>
        <v>108.88</v>
      </c>
    </row>
    <row r="55" spans="1:155" x14ac:dyDescent="0.3">
      <c r="A55" s="36"/>
      <c r="B55" s="36"/>
      <c r="C55" s="38"/>
      <c r="D55" s="15" t="s">
        <v>16</v>
      </c>
      <c r="E55" s="19">
        <f t="shared" ref="E55:AH55" si="274">E54/E51</f>
        <v>1.1746956147450638</v>
      </c>
      <c r="F55" s="19">
        <f t="shared" si="274"/>
        <v>1.138448400905995</v>
      </c>
      <c r="G55" s="19">
        <f t="shared" si="274"/>
        <v>1.2299007819616923</v>
      </c>
      <c r="H55" s="19">
        <f t="shared" si="274"/>
        <v>1.1672364110776545</v>
      </c>
      <c r="I55" s="19">
        <f t="shared" si="274"/>
        <v>1.1681735061728535</v>
      </c>
      <c r="J55" s="19">
        <f t="shared" si="274"/>
        <v>1.1516567425532713</v>
      </c>
      <c r="K55" s="19">
        <f t="shared" si="274"/>
        <v>1.1089976849652821</v>
      </c>
      <c r="L55" s="19">
        <f t="shared" si="274"/>
        <v>1.1415448049774146</v>
      </c>
      <c r="M55" s="19">
        <f t="shared" si="274"/>
        <v>1.1263008255723075</v>
      </c>
      <c r="N55" s="19">
        <f t="shared" si="274"/>
        <v>1.0863353910766791</v>
      </c>
      <c r="O55" s="19">
        <f t="shared" si="274"/>
        <v>0.99880499346367524</v>
      </c>
      <c r="P55" s="19">
        <f t="shared" si="274"/>
        <v>1.0565959035053223</v>
      </c>
      <c r="Q55" s="19">
        <f t="shared" si="274"/>
        <v>1.069572409335612</v>
      </c>
      <c r="R55" s="19">
        <f t="shared" si="274"/>
        <v>1.1491010329655789</v>
      </c>
      <c r="S55" s="19">
        <f t="shared" si="274"/>
        <v>1.021323380425865</v>
      </c>
      <c r="T55" s="19">
        <f t="shared" si="274"/>
        <v>1.005238694351539</v>
      </c>
      <c r="U55" s="19">
        <f t="shared" si="274"/>
        <v>0.95047760983607332</v>
      </c>
      <c r="V55" s="19">
        <f t="shared" si="274"/>
        <v>0.9588722806393718</v>
      </c>
      <c r="W55" s="19">
        <f t="shared" si="274"/>
        <v>0.98720884010436838</v>
      </c>
      <c r="X55" s="19">
        <f t="shared" si="274"/>
        <v>0.96900160093377941</v>
      </c>
      <c r="Y55" s="19">
        <f t="shared" si="274"/>
        <v>0.96449109081598627</v>
      </c>
      <c r="Z55" s="19">
        <f t="shared" si="274"/>
        <v>0.94912563713970732</v>
      </c>
      <c r="AA55" s="19">
        <f t="shared" si="274"/>
        <v>0.92199993785561984</v>
      </c>
      <c r="AB55" s="19">
        <f t="shared" si="274"/>
        <v>0.97669823717353443</v>
      </c>
      <c r="AC55" s="19">
        <f t="shared" si="274"/>
        <v>0.91305540550354092</v>
      </c>
      <c r="AD55" s="19">
        <f t="shared" si="274"/>
        <v>0.86655229259227207</v>
      </c>
      <c r="AE55" s="19">
        <f t="shared" si="274"/>
        <v>0.83997908521440423</v>
      </c>
      <c r="AF55" s="19">
        <f t="shared" si="274"/>
        <v>0.79015432138090191</v>
      </c>
      <c r="AG55" s="19">
        <f t="shared" si="274"/>
        <v>0.85789616458504037</v>
      </c>
      <c r="AH55" s="19">
        <f t="shared" si="274"/>
        <v>0.88968579518972313</v>
      </c>
      <c r="AI55" s="19">
        <f t="shared" ref="AI55:AW55" si="275">AI54/AI51</f>
        <v>0.847299621050146</v>
      </c>
      <c r="AJ55" s="19">
        <f t="shared" si="275"/>
        <v>0.87908925165482887</v>
      </c>
      <c r="AK55" s="19">
        <f t="shared" si="275"/>
        <v>0.97848845452949074</v>
      </c>
      <c r="AL55" s="19">
        <f t="shared" si="275"/>
        <v>0.91583511983895183</v>
      </c>
      <c r="AM55" s="19">
        <f t="shared" si="275"/>
        <v>0.78661261703971541</v>
      </c>
      <c r="AN55" s="19">
        <f t="shared" si="275"/>
        <v>0.7787809502033981</v>
      </c>
      <c r="AO55" s="19">
        <f t="shared" si="275"/>
        <v>0.72011948680903259</v>
      </c>
      <c r="AP55" s="19">
        <f t="shared" si="275"/>
        <v>0.66532097556516734</v>
      </c>
      <c r="AQ55" s="19">
        <f t="shared" si="275"/>
        <v>0.73190007012961189</v>
      </c>
      <c r="AR55" s="19">
        <f t="shared" si="275"/>
        <v>0.68881947952908895</v>
      </c>
      <c r="AS55" s="19">
        <f t="shared" si="275"/>
        <v>0.68881947952908895</v>
      </c>
      <c r="AT55" s="19">
        <f t="shared" si="275"/>
        <v>0.7369222367978322</v>
      </c>
      <c r="AU55" s="19">
        <f t="shared" si="275"/>
        <v>0.72476715261928859</v>
      </c>
      <c r="AV55" s="19">
        <f t="shared" si="275"/>
        <v>0.70856037371456393</v>
      </c>
      <c r="AW55" s="19">
        <f t="shared" si="275"/>
        <v>0.64373325809566517</v>
      </c>
      <c r="AX55" s="19" t="e">
        <f t="shared" ref="AX55:AZ55" si="276">AX54/AX51</f>
        <v>#DIV/0!</v>
      </c>
      <c r="AY55" s="19" t="e">
        <f t="shared" si="276"/>
        <v>#DIV/0!</v>
      </c>
      <c r="AZ55" s="19" t="e">
        <f t="shared" si="276"/>
        <v>#DIV/0!</v>
      </c>
      <c r="BA55" s="19" t="e">
        <f t="shared" ref="BA55:BB55" si="277">BA54/BA51</f>
        <v>#DIV/0!</v>
      </c>
      <c r="BB55" s="19" t="e">
        <f t="shared" si="277"/>
        <v>#DIV/0!</v>
      </c>
      <c r="BC55" s="19" t="e">
        <f t="shared" ref="BC55:BG55" si="278">BC54/BC51</f>
        <v>#DIV/0!</v>
      </c>
      <c r="BD55" s="19" t="e">
        <f t="shared" si="278"/>
        <v>#DIV/0!</v>
      </c>
      <c r="BE55" s="19" t="e">
        <f t="shared" si="278"/>
        <v>#DIV/0!</v>
      </c>
      <c r="BF55" s="19" t="e">
        <f t="shared" si="278"/>
        <v>#DIV/0!</v>
      </c>
      <c r="BG55" s="19" t="e">
        <f t="shared" si="278"/>
        <v>#DIV/0!</v>
      </c>
      <c r="BH55" s="19" t="e">
        <f t="shared" ref="BH55:BM55" si="279">BH54/BH51</f>
        <v>#DIV/0!</v>
      </c>
      <c r="BI55" s="19" t="e">
        <f t="shared" si="279"/>
        <v>#DIV/0!</v>
      </c>
      <c r="BJ55" s="19" t="e">
        <f t="shared" si="279"/>
        <v>#DIV/0!</v>
      </c>
      <c r="BK55" s="19" t="e">
        <f t="shared" si="279"/>
        <v>#DIV/0!</v>
      </c>
      <c r="BL55" s="19" t="e">
        <f t="shared" si="279"/>
        <v>#DIV/0!</v>
      </c>
      <c r="BM55" s="19" t="e">
        <f t="shared" si="279"/>
        <v>#DIV/0!</v>
      </c>
      <c r="BN55" s="19" t="e">
        <f t="shared" ref="BN55:BO55" si="280">BN54/BN51</f>
        <v>#DIV/0!</v>
      </c>
      <c r="BO55" s="19" t="e">
        <f t="shared" si="280"/>
        <v>#DIV/0!</v>
      </c>
      <c r="BP55" s="19" t="e">
        <f t="shared" ref="BP55:CW55" si="281">BP54/BP51</f>
        <v>#DIV/0!</v>
      </c>
      <c r="BQ55" s="19" t="e">
        <f t="shared" si="281"/>
        <v>#DIV/0!</v>
      </c>
      <c r="BR55" s="19" t="e">
        <f t="shared" si="281"/>
        <v>#DIV/0!</v>
      </c>
      <c r="BS55" s="19" t="e">
        <f t="shared" si="281"/>
        <v>#DIV/0!</v>
      </c>
      <c r="BT55" s="19" t="e">
        <f t="shared" si="281"/>
        <v>#DIV/0!</v>
      </c>
      <c r="BU55" s="19" t="e">
        <f t="shared" si="281"/>
        <v>#DIV/0!</v>
      </c>
      <c r="BV55" s="19" t="e">
        <f t="shared" si="281"/>
        <v>#DIV/0!</v>
      </c>
      <c r="BW55" s="19" t="e">
        <f t="shared" si="281"/>
        <v>#DIV/0!</v>
      </c>
      <c r="BX55" s="19" t="e">
        <f t="shared" si="281"/>
        <v>#DIV/0!</v>
      </c>
      <c r="BY55" s="19" t="e">
        <f t="shared" si="281"/>
        <v>#DIV/0!</v>
      </c>
      <c r="BZ55" s="19" t="e">
        <f t="shared" si="281"/>
        <v>#DIV/0!</v>
      </c>
      <c r="CA55" s="19" t="e">
        <f t="shared" si="281"/>
        <v>#DIV/0!</v>
      </c>
      <c r="CB55" s="19" t="e">
        <f t="shared" si="281"/>
        <v>#DIV/0!</v>
      </c>
      <c r="CC55" s="19" t="e">
        <f t="shared" si="281"/>
        <v>#DIV/0!</v>
      </c>
      <c r="CD55" s="19" t="e">
        <f t="shared" si="281"/>
        <v>#DIV/0!</v>
      </c>
      <c r="CE55" s="19" t="e">
        <f t="shared" si="281"/>
        <v>#DIV/0!</v>
      </c>
      <c r="CF55" s="19" t="e">
        <f t="shared" si="281"/>
        <v>#DIV/0!</v>
      </c>
      <c r="CG55" s="19" t="e">
        <f t="shared" si="281"/>
        <v>#DIV/0!</v>
      </c>
      <c r="CH55" s="19" t="e">
        <f t="shared" si="281"/>
        <v>#DIV/0!</v>
      </c>
      <c r="CI55" s="19" t="e">
        <f t="shared" si="281"/>
        <v>#DIV/0!</v>
      </c>
      <c r="CJ55" s="19" t="e">
        <f t="shared" si="281"/>
        <v>#DIV/0!</v>
      </c>
      <c r="CK55" s="19" t="e">
        <f t="shared" si="281"/>
        <v>#DIV/0!</v>
      </c>
      <c r="CL55" s="19" t="e">
        <f t="shared" si="281"/>
        <v>#DIV/0!</v>
      </c>
      <c r="CM55" s="19" t="e">
        <f t="shared" si="281"/>
        <v>#DIV/0!</v>
      </c>
      <c r="CN55" s="19" t="e">
        <f t="shared" si="281"/>
        <v>#DIV/0!</v>
      </c>
      <c r="CO55" s="19" t="e">
        <f t="shared" si="281"/>
        <v>#DIV/0!</v>
      </c>
      <c r="CP55" s="19" t="e">
        <f t="shared" si="281"/>
        <v>#DIV/0!</v>
      </c>
      <c r="CQ55" s="19" t="e">
        <f t="shared" si="281"/>
        <v>#DIV/0!</v>
      </c>
      <c r="CR55" s="19" t="e">
        <f t="shared" si="281"/>
        <v>#DIV/0!</v>
      </c>
      <c r="CS55" s="19" t="e">
        <f t="shared" si="281"/>
        <v>#DIV/0!</v>
      </c>
      <c r="CT55" s="19" t="e">
        <f t="shared" si="281"/>
        <v>#DIV/0!</v>
      </c>
      <c r="CU55" s="19" t="e">
        <f t="shared" si="281"/>
        <v>#DIV/0!</v>
      </c>
      <c r="CV55" s="19" t="e">
        <f t="shared" si="281"/>
        <v>#DIV/0!</v>
      </c>
      <c r="CW55" s="19" t="e">
        <f t="shared" si="281"/>
        <v>#DIV/0!</v>
      </c>
      <c r="CX55" s="19" t="e">
        <f t="shared" ref="CX55:CY55" si="282">CX54/CX51</f>
        <v>#DIV/0!</v>
      </c>
      <c r="CY55" s="19" t="e">
        <f t="shared" si="282"/>
        <v>#DIV/0!</v>
      </c>
      <c r="CZ55" s="19" t="e">
        <f t="shared" ref="CZ55:EV55" si="283">CZ54/CZ51</f>
        <v>#DIV/0!</v>
      </c>
      <c r="DA55" s="19" t="e">
        <f t="shared" si="283"/>
        <v>#DIV/0!</v>
      </c>
      <c r="DB55" s="19" t="e">
        <f t="shared" si="283"/>
        <v>#DIV/0!</v>
      </c>
      <c r="DC55" s="19" t="e">
        <f t="shared" si="283"/>
        <v>#DIV/0!</v>
      </c>
      <c r="DD55" s="19" t="e">
        <f t="shared" si="283"/>
        <v>#DIV/0!</v>
      </c>
      <c r="DE55" s="19" t="e">
        <f t="shared" si="283"/>
        <v>#DIV/0!</v>
      </c>
      <c r="DF55" s="19" t="e">
        <f t="shared" si="283"/>
        <v>#DIV/0!</v>
      </c>
      <c r="DG55" s="19" t="e">
        <f t="shared" si="283"/>
        <v>#DIV/0!</v>
      </c>
      <c r="DH55" s="19" t="e">
        <f t="shared" si="283"/>
        <v>#DIV/0!</v>
      </c>
      <c r="DI55" s="19" t="e">
        <f t="shared" si="283"/>
        <v>#DIV/0!</v>
      </c>
      <c r="DJ55" s="19" t="e">
        <f t="shared" si="283"/>
        <v>#DIV/0!</v>
      </c>
      <c r="DK55" s="19" t="e">
        <f t="shared" si="283"/>
        <v>#DIV/0!</v>
      </c>
      <c r="DL55" s="19" t="e">
        <f t="shared" si="283"/>
        <v>#DIV/0!</v>
      </c>
      <c r="DM55" s="19" t="e">
        <f t="shared" si="283"/>
        <v>#DIV/0!</v>
      </c>
      <c r="DN55" s="19" t="e">
        <f t="shared" si="283"/>
        <v>#DIV/0!</v>
      </c>
      <c r="DO55" s="19" t="e">
        <f t="shared" si="283"/>
        <v>#DIV/0!</v>
      </c>
      <c r="DP55" s="19" t="e">
        <f t="shared" si="283"/>
        <v>#DIV/0!</v>
      </c>
      <c r="DQ55" s="19" t="e">
        <f t="shared" si="283"/>
        <v>#DIV/0!</v>
      </c>
      <c r="DR55" s="19" t="e">
        <f t="shared" si="283"/>
        <v>#DIV/0!</v>
      </c>
      <c r="DS55" s="19" t="e">
        <f t="shared" si="283"/>
        <v>#DIV/0!</v>
      </c>
      <c r="DT55" s="19" t="e">
        <f t="shared" si="283"/>
        <v>#DIV/0!</v>
      </c>
      <c r="DU55" s="19" t="e">
        <f t="shared" si="283"/>
        <v>#DIV/0!</v>
      </c>
      <c r="DV55" s="19" t="e">
        <f t="shared" si="283"/>
        <v>#DIV/0!</v>
      </c>
      <c r="DW55" s="19" t="e">
        <f t="shared" si="283"/>
        <v>#DIV/0!</v>
      </c>
      <c r="DX55" s="19" t="e">
        <f t="shared" si="283"/>
        <v>#DIV/0!</v>
      </c>
      <c r="DY55" s="19" t="e">
        <f t="shared" si="283"/>
        <v>#DIV/0!</v>
      </c>
      <c r="DZ55" s="19" t="e">
        <f t="shared" si="283"/>
        <v>#DIV/0!</v>
      </c>
      <c r="EA55" s="19" t="e">
        <f t="shared" si="283"/>
        <v>#DIV/0!</v>
      </c>
      <c r="EB55" s="19" t="e">
        <f t="shared" si="283"/>
        <v>#DIV/0!</v>
      </c>
      <c r="EC55" s="19" t="e">
        <f t="shared" si="283"/>
        <v>#DIV/0!</v>
      </c>
      <c r="ED55" s="19" t="e">
        <f t="shared" si="283"/>
        <v>#DIV/0!</v>
      </c>
      <c r="EE55" s="19" t="e">
        <f t="shared" si="283"/>
        <v>#DIV/0!</v>
      </c>
      <c r="EF55" s="19" t="e">
        <f t="shared" si="283"/>
        <v>#DIV/0!</v>
      </c>
      <c r="EG55" s="19" t="e">
        <f t="shared" si="283"/>
        <v>#DIV/0!</v>
      </c>
      <c r="EH55" s="19" t="e">
        <f t="shared" si="283"/>
        <v>#DIV/0!</v>
      </c>
      <c r="EI55" s="19" t="e">
        <f t="shared" si="283"/>
        <v>#DIV/0!</v>
      </c>
      <c r="EJ55" s="19" t="e">
        <f t="shared" si="283"/>
        <v>#DIV/0!</v>
      </c>
      <c r="EK55" s="19" t="e">
        <f t="shared" si="283"/>
        <v>#DIV/0!</v>
      </c>
      <c r="EL55" s="19" t="e">
        <f t="shared" si="283"/>
        <v>#DIV/0!</v>
      </c>
      <c r="EM55" s="19" t="e">
        <f t="shared" si="283"/>
        <v>#DIV/0!</v>
      </c>
      <c r="EN55" s="19" t="e">
        <f t="shared" si="283"/>
        <v>#DIV/0!</v>
      </c>
      <c r="EO55" s="19" t="e">
        <f t="shared" si="283"/>
        <v>#DIV/0!</v>
      </c>
      <c r="EP55" s="19" t="e">
        <f t="shared" si="283"/>
        <v>#DIV/0!</v>
      </c>
      <c r="EQ55" s="19" t="e">
        <f t="shared" si="283"/>
        <v>#DIV/0!</v>
      </c>
      <c r="ER55" s="19" t="e">
        <f t="shared" si="283"/>
        <v>#DIV/0!</v>
      </c>
      <c r="ES55" s="19" t="e">
        <f t="shared" si="283"/>
        <v>#DIV/0!</v>
      </c>
      <c r="ET55" s="19" t="e">
        <f t="shared" si="283"/>
        <v>#DIV/0!</v>
      </c>
      <c r="EU55" s="19" t="e">
        <f t="shared" si="283"/>
        <v>#DIV/0!</v>
      </c>
      <c r="EV55" s="19" t="e">
        <f t="shared" si="283"/>
        <v>#DIV/0!</v>
      </c>
      <c r="EW55" s="19" t="e">
        <f t="shared" ref="EW55:EY55" si="284">EW54/EW51</f>
        <v>#DIV/0!</v>
      </c>
      <c r="EX55" s="19" t="e">
        <f t="shared" si="284"/>
        <v>#DIV/0!</v>
      </c>
      <c r="EY55" s="19" t="e">
        <f t="shared" si="284"/>
        <v>#DIV/0!</v>
      </c>
    </row>
    <row r="56" spans="1:155" x14ac:dyDescent="0.3">
      <c r="A56" s="36"/>
      <c r="B56" s="36"/>
      <c r="C56" s="39"/>
      <c r="D56" s="15" t="s">
        <v>17</v>
      </c>
      <c r="E56" s="20">
        <f>E54/E52</f>
        <v>1.1304876074449304</v>
      </c>
      <c r="F56" s="20">
        <f t="shared" ref="F56:AH56" si="285">F54/F52</f>
        <v>1.0198574864944479</v>
      </c>
      <c r="G56" s="20">
        <f t="shared" si="285"/>
        <v>0.95145380766587928</v>
      </c>
      <c r="H56" s="20">
        <f t="shared" si="285"/>
        <v>0.95795813308145383</v>
      </c>
      <c r="I56" s="20">
        <f t="shared" si="285"/>
        <v>0.98477882311995601</v>
      </c>
      <c r="J56" s="20">
        <f t="shared" si="285"/>
        <v>0.95229376532865007</v>
      </c>
      <c r="K56" s="20">
        <f t="shared" si="285"/>
        <v>1.0014777238717729</v>
      </c>
      <c r="L56" s="20">
        <f t="shared" si="285"/>
        <v>1.1233710136561028</v>
      </c>
      <c r="M56" s="20">
        <f t="shared" si="285"/>
        <v>1.1368738467466082</v>
      </c>
      <c r="N56" s="20">
        <f t="shared" si="285"/>
        <v>1.1277410316666669</v>
      </c>
      <c r="O56" s="20">
        <f t="shared" si="285"/>
        <v>1.0724591416560698</v>
      </c>
      <c r="P56" s="20">
        <f t="shared" si="285"/>
        <v>1.0684094867789127</v>
      </c>
      <c r="Q56" s="20">
        <f t="shared" si="285"/>
        <v>1.1158505774535823</v>
      </c>
      <c r="R56" s="20">
        <f t="shared" si="285"/>
        <v>1.1861773850428268</v>
      </c>
      <c r="S56" s="20">
        <f t="shared" si="285"/>
        <v>1.1054673756962965</v>
      </c>
      <c r="T56" s="20">
        <f t="shared" si="285"/>
        <v>1.002100390824709</v>
      </c>
      <c r="U56" s="20">
        <f t="shared" si="285"/>
        <v>0.98878010802199734</v>
      </c>
      <c r="V56" s="20">
        <f t="shared" si="285"/>
        <v>0.97243985431166569</v>
      </c>
      <c r="W56" s="20">
        <f t="shared" si="285"/>
        <v>0.99646020503224808</v>
      </c>
      <c r="X56" s="20">
        <f t="shared" si="285"/>
        <v>1.0627545700349517</v>
      </c>
      <c r="Y56" s="20">
        <f t="shared" si="285"/>
        <v>1.061084253703598</v>
      </c>
      <c r="Z56" s="20">
        <f t="shared" si="285"/>
        <v>1.1025710310736265</v>
      </c>
      <c r="AA56" s="20">
        <f t="shared" si="285"/>
        <v>1.0376806446898152</v>
      </c>
      <c r="AB56" s="20">
        <f t="shared" si="285"/>
        <v>1.3421422429792391</v>
      </c>
      <c r="AC56" s="20">
        <f t="shared" si="285"/>
        <v>1.1935464496785242</v>
      </c>
      <c r="AD56" s="20">
        <f t="shared" si="285"/>
        <v>1.1893061432341019</v>
      </c>
      <c r="AE56" s="20">
        <f t="shared" si="285"/>
        <v>1.1953856428908949</v>
      </c>
      <c r="AF56" s="20">
        <f t="shared" si="285"/>
        <v>1.1407866090351846</v>
      </c>
      <c r="AG56" s="20">
        <f t="shared" si="285"/>
        <v>1.163568879584979</v>
      </c>
      <c r="AH56" s="20">
        <f t="shared" si="285"/>
        <v>1.2037770081005748</v>
      </c>
      <c r="AI56" s="20">
        <f t="shared" ref="AI56:AW56" si="286">AI54/AI52</f>
        <v>1.3200475722030072</v>
      </c>
      <c r="AJ56" s="20">
        <f t="shared" si="286"/>
        <v>1.3008446844443973</v>
      </c>
      <c r="AK56" s="20">
        <f t="shared" si="286"/>
        <v>1.3679764868687567</v>
      </c>
      <c r="AL56" s="20">
        <f t="shared" si="286"/>
        <v>1.3747591608842471</v>
      </c>
      <c r="AM56" s="20">
        <f t="shared" si="286"/>
        <v>1.2558340549685845</v>
      </c>
      <c r="AN56" s="20">
        <f t="shared" si="286"/>
        <v>1.2501999700472277</v>
      </c>
      <c r="AO56" s="20">
        <f t="shared" si="286"/>
        <v>1.1570712462606645</v>
      </c>
      <c r="AP56" s="20">
        <f t="shared" si="286"/>
        <v>1.1747751503585002</v>
      </c>
      <c r="AQ56" s="20">
        <f t="shared" si="286"/>
        <v>1.2565773186260796</v>
      </c>
      <c r="AR56" s="20">
        <f t="shared" si="286"/>
        <v>1.1791244508761922</v>
      </c>
      <c r="AS56" s="20">
        <f t="shared" si="286"/>
        <v>1.4387623488683137</v>
      </c>
      <c r="AT56" s="20">
        <f t="shared" si="286"/>
        <v>1.1938864798052109</v>
      </c>
      <c r="AU56" s="20">
        <f t="shared" si="286"/>
        <v>1.2243452115725337</v>
      </c>
      <c r="AV56" s="20">
        <f t="shared" si="286"/>
        <v>1.2328815712396308</v>
      </c>
      <c r="AW56" s="20">
        <f t="shared" si="286"/>
        <v>1.4502669227703566</v>
      </c>
      <c r="AX56" s="20">
        <f t="shared" ref="AX56:AZ56" si="287">AX54/AX52</f>
        <v>1.3068021753242778</v>
      </c>
      <c r="AY56" s="20">
        <f t="shared" si="287"/>
        <v>1.0902769399506445</v>
      </c>
      <c r="AZ56" s="20">
        <f t="shared" si="287"/>
        <v>1.1371551724137929</v>
      </c>
      <c r="BA56" s="20">
        <f t="shared" ref="BA56:BB56" si="288">BA54/BA52</f>
        <v>1.2216000000000002</v>
      </c>
      <c r="BB56" s="20">
        <f t="shared" si="288"/>
        <v>1.0720342612419698</v>
      </c>
      <c r="BC56" s="20">
        <f t="shared" ref="BC56:BG56" si="289">BC54/BC52</f>
        <v>0.96819875776397513</v>
      </c>
      <c r="BD56" s="20">
        <f t="shared" si="289"/>
        <v>1.0355338450802511</v>
      </c>
      <c r="BE56" s="20">
        <f t="shared" si="289"/>
        <v>1.1558989169675091</v>
      </c>
      <c r="BF56" s="20">
        <f t="shared" si="289"/>
        <v>1.062061433447099</v>
      </c>
      <c r="BG56" s="20">
        <f t="shared" si="289"/>
        <v>1.1234612700628053</v>
      </c>
      <c r="BH56" s="20">
        <f t="shared" ref="BH56:BM56" si="290">BH54/BH52</f>
        <v>1.1378984989278054</v>
      </c>
      <c r="BI56" s="20">
        <f t="shared" si="290"/>
        <v>1.1648493975903615</v>
      </c>
      <c r="BJ56" s="20">
        <f t="shared" si="290"/>
        <v>1.1556455696202532</v>
      </c>
      <c r="BK56" s="20">
        <f t="shared" si="290"/>
        <v>1.1817406501223346</v>
      </c>
      <c r="BL56" s="20">
        <f t="shared" si="290"/>
        <v>1.1334116833736605</v>
      </c>
      <c r="BM56" s="20">
        <f t="shared" si="290"/>
        <v>1.1581919229344202</v>
      </c>
      <c r="BN56" s="20">
        <f t="shared" ref="BN56:BO56" si="291">BN54/BN52</f>
        <v>1.1917377511455762</v>
      </c>
      <c r="BO56" s="20">
        <f t="shared" si="291"/>
        <v>1.1894166094715168</v>
      </c>
      <c r="BP56" s="20">
        <f t="shared" ref="BP56:CW56" si="292">BP54/BP52</f>
        <v>1.1062990033222591</v>
      </c>
      <c r="BQ56" s="20">
        <f t="shared" si="292"/>
        <v>1.1846599930963064</v>
      </c>
      <c r="BR56" s="20">
        <f t="shared" si="292"/>
        <v>1.1621388888888888</v>
      </c>
      <c r="BS56" s="20">
        <f t="shared" si="292"/>
        <v>1.3149061032863849</v>
      </c>
      <c r="BT56" s="20">
        <f t="shared" si="292"/>
        <v>1.0618494897959181</v>
      </c>
      <c r="BU56" s="20">
        <f t="shared" si="292"/>
        <v>1.1473586161011311</v>
      </c>
      <c r="BV56" s="20">
        <f t="shared" si="292"/>
        <v>1.1393189715079914</v>
      </c>
      <c r="BW56" s="20">
        <f t="shared" si="292"/>
        <v>1.1443161512027491</v>
      </c>
      <c r="BX56" s="20">
        <f t="shared" si="292"/>
        <v>1.3006839826839829</v>
      </c>
      <c r="BY56" s="20">
        <f t="shared" si="292"/>
        <v>1.062115611482501</v>
      </c>
      <c r="BZ56" s="20">
        <f t="shared" si="292"/>
        <v>1.0987322121604139</v>
      </c>
      <c r="CA56" s="20">
        <f t="shared" si="292"/>
        <v>1.1271629094002551</v>
      </c>
      <c r="CB56" s="20">
        <f t="shared" si="292"/>
        <v>1.1550064020486555</v>
      </c>
      <c r="CC56" s="20">
        <f t="shared" si="292"/>
        <v>1.1569953917050695</v>
      </c>
      <c r="CD56" s="20">
        <f t="shared" si="292"/>
        <v>1.1650856219709207</v>
      </c>
      <c r="CE56" s="20">
        <f t="shared" si="292"/>
        <v>1.1837804878048779</v>
      </c>
      <c r="CF56" s="20">
        <f t="shared" si="292"/>
        <v>1.1602061855670103</v>
      </c>
      <c r="CG56" s="20">
        <f t="shared" si="292"/>
        <v>1.4967158713811648</v>
      </c>
      <c r="CH56" s="20">
        <f t="shared" si="292"/>
        <v>1.2980566801619433</v>
      </c>
      <c r="CI56" s="20">
        <f t="shared" si="292"/>
        <v>1.417189435930877</v>
      </c>
      <c r="CJ56" s="20">
        <f t="shared" si="292"/>
        <v>1.3321447299423177</v>
      </c>
      <c r="CK56" s="20">
        <f t="shared" si="292"/>
        <v>1.3268560525757898</v>
      </c>
      <c r="CL56" s="20">
        <f t="shared" si="292"/>
        <v>1.4076673940507638</v>
      </c>
      <c r="CM56" s="20">
        <f t="shared" si="292"/>
        <v>1.4710766246362754</v>
      </c>
      <c r="CN56" s="20">
        <f t="shared" si="292"/>
        <v>1.4438039215686274</v>
      </c>
      <c r="CO56" s="20">
        <f t="shared" si="292"/>
        <v>1.378943396226415</v>
      </c>
      <c r="CP56" s="20">
        <f t="shared" si="292"/>
        <v>1.2725263157894735</v>
      </c>
      <c r="CQ56" s="20">
        <f t="shared" si="292"/>
        <v>1.2988</v>
      </c>
      <c r="CR56" s="20">
        <f t="shared" si="292"/>
        <v>1.3095138226882745</v>
      </c>
      <c r="CS56" s="20">
        <f t="shared" si="292"/>
        <v>1.7720156046814044</v>
      </c>
      <c r="CT56" s="20">
        <f t="shared" si="292"/>
        <v>1.3319999999999999</v>
      </c>
      <c r="CU56" s="20">
        <f t="shared" si="292"/>
        <v>1.4007472527472526</v>
      </c>
      <c r="CV56" s="20">
        <f t="shared" si="292"/>
        <v>1.5225060240963855</v>
      </c>
      <c r="CW56" s="20">
        <f t="shared" si="292"/>
        <v>2.6638095238095238</v>
      </c>
      <c r="CX56" s="20">
        <f t="shared" ref="CX56:CY56" si="293">CX54/CX52</f>
        <v>1.6616893732970024</v>
      </c>
      <c r="CY56" s="20">
        <f t="shared" si="293"/>
        <v>1.0518632478632479</v>
      </c>
      <c r="CZ56" s="20">
        <f t="shared" ref="CZ56:EV56" si="294">CZ54/CZ52</f>
        <v>1.0940795107033636</v>
      </c>
      <c r="DA56" s="20">
        <f t="shared" si="294"/>
        <v>1.2986761229314421</v>
      </c>
      <c r="DB56" s="20">
        <f t="shared" si="294"/>
        <v>0.97989189189189185</v>
      </c>
      <c r="DC56" s="20">
        <f t="shared" si="294"/>
        <v>1.1593394495412843</v>
      </c>
      <c r="DD56" s="20">
        <f t="shared" si="294"/>
        <v>1.2511683168316832</v>
      </c>
      <c r="DE56" s="20">
        <f t="shared" si="294"/>
        <v>1.1470877192982456</v>
      </c>
      <c r="DF56" s="20">
        <f t="shared" si="294"/>
        <v>1.0988620689655173</v>
      </c>
      <c r="DG56" s="20">
        <f t="shared" si="294"/>
        <v>1.1078064516129031</v>
      </c>
      <c r="DH56" s="20">
        <f t="shared" si="294"/>
        <v>1.1263999999999998</v>
      </c>
      <c r="DI56" s="20">
        <f t="shared" si="294"/>
        <v>1.1663859649122805</v>
      </c>
      <c r="DJ56" s="20">
        <f t="shared" si="294"/>
        <v>1.1374385964912279</v>
      </c>
      <c r="DK56" s="20">
        <f t="shared" si="294"/>
        <v>1.03021875</v>
      </c>
      <c r="DL56" s="20">
        <f t="shared" si="294"/>
        <v>1.0177704918032786</v>
      </c>
      <c r="DM56" s="20">
        <f t="shared" si="294"/>
        <v>1.1155698164747319</v>
      </c>
      <c r="DN56" s="20">
        <f t="shared" si="294"/>
        <v>1.2519640669335346</v>
      </c>
      <c r="DO56" s="20">
        <f t="shared" si="294"/>
        <v>1.1477582533365678</v>
      </c>
      <c r="DP56" s="20">
        <f t="shared" si="294"/>
        <v>1.1620078306238548</v>
      </c>
      <c r="DQ56" s="20">
        <f t="shared" si="294"/>
        <v>1.1755668341984564</v>
      </c>
      <c r="DR56" s="20">
        <f t="shared" si="294"/>
        <v>1.2385871001912061</v>
      </c>
      <c r="DS56" s="20">
        <f t="shared" si="294"/>
        <v>1.3728421356836686</v>
      </c>
      <c r="DT56" s="20">
        <f t="shared" si="294"/>
        <v>1.1419768619626409</v>
      </c>
      <c r="DU56" s="20">
        <f t="shared" si="294"/>
        <v>1.2581612038503234</v>
      </c>
      <c r="DV56" s="20">
        <f t="shared" si="294"/>
        <v>1.2552356799841384</v>
      </c>
      <c r="DW56" s="20">
        <f t="shared" si="294"/>
        <v>1.2459394937680341</v>
      </c>
      <c r="DX56" s="20">
        <f t="shared" si="294"/>
        <v>1.3367581028279372</v>
      </c>
      <c r="DY56" s="20">
        <f t="shared" si="294"/>
        <v>1.2469056602436182</v>
      </c>
      <c r="DZ56" s="20">
        <f t="shared" si="294"/>
        <v>1.2909300417757956</v>
      </c>
      <c r="EA56" s="20">
        <f t="shared" si="294"/>
        <v>1.2612070064233976</v>
      </c>
      <c r="EB56" s="20">
        <f t="shared" si="294"/>
        <v>1.190655770509913</v>
      </c>
      <c r="EC56" s="20">
        <f t="shared" si="294"/>
        <v>1.1319177180484954</v>
      </c>
      <c r="ED56" s="20">
        <f t="shared" si="294"/>
        <v>1.208391197438434</v>
      </c>
      <c r="EE56" s="20">
        <f t="shared" si="294"/>
        <v>1.1871437705170409</v>
      </c>
      <c r="EF56" s="20">
        <f t="shared" si="294"/>
        <v>1.1663792916823197</v>
      </c>
      <c r="EG56" s="20">
        <f t="shared" si="294"/>
        <v>1.0924656341487948</v>
      </c>
      <c r="EH56" s="20">
        <f t="shared" si="294"/>
        <v>1.255829642106592</v>
      </c>
      <c r="EI56" s="20">
        <f t="shared" si="294"/>
        <v>1.2058048175772791</v>
      </c>
      <c r="EJ56" s="20">
        <f t="shared" si="294"/>
        <v>1.1139121221837038</v>
      </c>
      <c r="EK56" s="20">
        <f t="shared" si="294"/>
        <v>1.087201665031609</v>
      </c>
      <c r="EL56" s="20">
        <f t="shared" si="294"/>
        <v>1.1133893247899869</v>
      </c>
      <c r="EM56" s="20">
        <f t="shared" si="294"/>
        <v>1.1406145979612519</v>
      </c>
      <c r="EN56" s="20">
        <f t="shared" si="294"/>
        <v>1.1919901300438625</v>
      </c>
      <c r="EO56" s="20">
        <f t="shared" si="294"/>
        <v>1.1215877503035394</v>
      </c>
      <c r="EP56" s="20">
        <f t="shared" si="294"/>
        <v>1.1348306993008026</v>
      </c>
      <c r="EQ56" s="20">
        <f t="shared" si="294"/>
        <v>1.1480461972057756</v>
      </c>
      <c r="ER56" s="20">
        <f t="shared" si="294"/>
        <v>1.1358919563420049</v>
      </c>
      <c r="ES56" s="20">
        <f t="shared" si="294"/>
        <v>1.3330767422888197</v>
      </c>
      <c r="ET56" s="20">
        <f t="shared" si="294"/>
        <v>1.065480208200198</v>
      </c>
      <c r="EU56" s="20">
        <f t="shared" si="294"/>
        <v>0.99794187665991596</v>
      </c>
      <c r="EV56" s="20">
        <f t="shared" si="294"/>
        <v>1.0350191798825812</v>
      </c>
      <c r="EW56" s="20">
        <f t="shared" ref="EW56:EY56" si="295">EW54/EW52</f>
        <v>1.2844074074310852</v>
      </c>
      <c r="EX56" s="20">
        <f t="shared" si="295"/>
        <v>1.0631325251971924</v>
      </c>
      <c r="EY56" s="20">
        <f t="shared" si="295"/>
        <v>1.1079370952821459</v>
      </c>
    </row>
    <row r="59" spans="1:155" x14ac:dyDescent="0.3">
      <c r="U59">
        <f t="shared" ref="U59:AS59" si="296">U10/15</f>
        <v>11.447328143003224</v>
      </c>
      <c r="V59">
        <f t="shared" si="296"/>
        <v>12.121623078149897</v>
      </c>
      <c r="W59">
        <f t="shared" si="296"/>
        <v>11.890171263721394</v>
      </c>
      <c r="X59">
        <f t="shared" si="296"/>
        <v>11.485140186511781</v>
      </c>
      <c r="Y59">
        <f t="shared" si="296"/>
        <v>11.232175939188558</v>
      </c>
      <c r="Z59">
        <f t="shared" si="296"/>
        <v>9.9933048122970263</v>
      </c>
      <c r="AA59">
        <f t="shared" si="296"/>
        <v>10.314197887972743</v>
      </c>
      <c r="AB59">
        <f t="shared" si="296"/>
        <v>7.0721727292382228</v>
      </c>
      <c r="AC59">
        <f t="shared" si="296"/>
        <v>7.953682580404954</v>
      </c>
      <c r="AD59">
        <f t="shared" si="296"/>
        <v>7.6236527061952417</v>
      </c>
      <c r="AE59">
        <f t="shared" si="296"/>
        <v>7.4364529139701148</v>
      </c>
      <c r="AF59">
        <f t="shared" si="296"/>
        <v>7.2348522861890876</v>
      </c>
      <c r="AG59">
        <f t="shared" si="296"/>
        <v>6.5158070347974189</v>
      </c>
      <c r="AH59">
        <f t="shared" si="296"/>
        <v>6.9494274163749763</v>
      </c>
      <c r="AI59">
        <f t="shared" si="296"/>
        <v>5.9813815729720483</v>
      </c>
      <c r="AJ59">
        <f t="shared" si="296"/>
        <v>6.5547894059978393</v>
      </c>
      <c r="AK59">
        <f t="shared" si="296"/>
        <v>6.7109305556347811</v>
      </c>
      <c r="AL59">
        <f t="shared" si="296"/>
        <v>6.1416229137700036</v>
      </c>
      <c r="AM59">
        <f t="shared" si="296"/>
        <v>6.5971626402516028</v>
      </c>
      <c r="AN59">
        <f t="shared" si="296"/>
        <v>7.0052367495783958</v>
      </c>
      <c r="AO59">
        <f t="shared" si="296"/>
        <v>6.7274375191803522</v>
      </c>
      <c r="AP59">
        <f t="shared" si="296"/>
        <v>6.0404263657409141</v>
      </c>
      <c r="AQ59">
        <f t="shared" si="296"/>
        <v>6.1147632875378983</v>
      </c>
      <c r="AR59">
        <f t="shared" si="296"/>
        <v>6.4107682622364885</v>
      </c>
      <c r="AS59">
        <f t="shared" si="296"/>
        <v>5.0829303411756088</v>
      </c>
      <c r="AT59">
        <f t="shared" ref="AT59:BG59" si="297">AT10/5</f>
        <v>22.068558456190019</v>
      </c>
      <c r="AU59">
        <f t="shared" si="297"/>
        <v>20.620516943950594</v>
      </c>
      <c r="AV59">
        <f t="shared" si="297"/>
        <v>19.769310415462314</v>
      </c>
      <c r="AW59">
        <f t="shared" si="297"/>
        <v>13.110449380794151</v>
      </c>
      <c r="AX59">
        <f t="shared" si="297"/>
        <v>17.797565217391302</v>
      </c>
      <c r="AY59">
        <f t="shared" si="297"/>
        <v>21.913043478260867</v>
      </c>
      <c r="AZ59">
        <f t="shared" si="297"/>
        <v>21.333333333333336</v>
      </c>
      <c r="BA59">
        <f t="shared" si="297"/>
        <v>17.066666666666666</v>
      </c>
      <c r="BB59">
        <f t="shared" si="297"/>
        <v>21.333333333333336</v>
      </c>
      <c r="BC59">
        <f t="shared" si="297"/>
        <v>22.4</v>
      </c>
      <c r="BD59">
        <f t="shared" si="297"/>
        <v>22.044444444444444</v>
      </c>
      <c r="BE59">
        <f t="shared" si="297"/>
        <v>20.977777777777778</v>
      </c>
      <c r="BF59">
        <f t="shared" si="297"/>
        <v>22.755555555555556</v>
      </c>
      <c r="BG59">
        <f t="shared" si="297"/>
        <v>22.044444444444444</v>
      </c>
    </row>
    <row r="60" spans="1:155" x14ac:dyDescent="0.3">
      <c r="U60">
        <f>U59+U59*0.15</f>
        <v>13.164427364453708</v>
      </c>
      <c r="V60">
        <f t="shared" ref="V60:AF60" si="298">V59+V59*0.15</f>
        <v>13.939866539872382</v>
      </c>
      <c r="W60">
        <f t="shared" si="298"/>
        <v>13.673696953279602</v>
      </c>
      <c r="X60">
        <f t="shared" si="298"/>
        <v>13.207911214488549</v>
      </c>
      <c r="Y60">
        <f t="shared" si="298"/>
        <v>12.917002330066842</v>
      </c>
      <c r="Z60">
        <f t="shared" si="298"/>
        <v>11.492300534141581</v>
      </c>
      <c r="AA60">
        <f t="shared" si="298"/>
        <v>11.861327571168655</v>
      </c>
      <c r="AB60">
        <f t="shared" si="298"/>
        <v>8.1329986386239561</v>
      </c>
      <c r="AC60">
        <f t="shared" si="298"/>
        <v>9.1467349674656973</v>
      </c>
      <c r="AD60">
        <f t="shared" si="298"/>
        <v>8.7672006121245278</v>
      </c>
      <c r="AE60">
        <f t="shared" si="298"/>
        <v>8.5519208510656313</v>
      </c>
      <c r="AF60">
        <f t="shared" si="298"/>
        <v>8.32008012911745</v>
      </c>
      <c r="AG60">
        <f t="shared" ref="AG60:BA60" si="299">AG59+AG59*0.15</f>
        <v>7.4931780900170315</v>
      </c>
      <c r="AH60">
        <f t="shared" si="299"/>
        <v>7.9918415288312232</v>
      </c>
      <c r="AI60">
        <f t="shared" si="299"/>
        <v>6.878588808917856</v>
      </c>
      <c r="AJ60">
        <f t="shared" si="299"/>
        <v>7.5380078168975153</v>
      </c>
      <c r="AK60">
        <f t="shared" si="299"/>
        <v>7.7175701389799984</v>
      </c>
      <c r="AL60">
        <f t="shared" si="299"/>
        <v>7.0628663508355043</v>
      </c>
      <c r="AM60">
        <f t="shared" si="299"/>
        <v>7.5867370362893434</v>
      </c>
      <c r="AN60">
        <f t="shared" si="299"/>
        <v>8.0560222620151549</v>
      </c>
      <c r="AO60">
        <f t="shared" si="299"/>
        <v>7.7365531470574052</v>
      </c>
      <c r="AP60">
        <f t="shared" si="299"/>
        <v>6.9464903206020514</v>
      </c>
      <c r="AQ60">
        <f t="shared" si="299"/>
        <v>7.0319777806685835</v>
      </c>
      <c r="AR60">
        <f t="shared" si="299"/>
        <v>7.3723835015719619</v>
      </c>
      <c r="AS60">
        <f t="shared" si="299"/>
        <v>5.8453698923519504</v>
      </c>
      <c r="AT60">
        <f t="shared" si="299"/>
        <v>25.37884222461852</v>
      </c>
      <c r="AU60">
        <f t="shared" si="299"/>
        <v>23.713594485543183</v>
      </c>
      <c r="AV60">
        <f t="shared" si="299"/>
        <v>22.734706977781663</v>
      </c>
      <c r="AW60">
        <f t="shared" si="299"/>
        <v>15.077016787913273</v>
      </c>
      <c r="AX60">
        <f t="shared" si="299"/>
        <v>20.467199999999998</v>
      </c>
      <c r="AY60">
        <f t="shared" si="299"/>
        <v>25.199999999999996</v>
      </c>
      <c r="AZ60">
        <f t="shared" si="299"/>
        <v>24.533333333333335</v>
      </c>
      <c r="BA60">
        <f t="shared" si="299"/>
        <v>19.626666666666665</v>
      </c>
      <c r="BB60">
        <f t="shared" ref="BB60:BG60" si="300">BB59+BB59*0.15</f>
        <v>24.533333333333335</v>
      </c>
      <c r="BC60">
        <f t="shared" si="300"/>
        <v>25.759999999999998</v>
      </c>
      <c r="BD60">
        <f t="shared" si="300"/>
        <v>25.351111111111109</v>
      </c>
      <c r="BE60">
        <f t="shared" si="300"/>
        <v>24.124444444444443</v>
      </c>
      <c r="BF60">
        <f t="shared" si="300"/>
        <v>26.16888888888889</v>
      </c>
      <c r="BG60">
        <f t="shared" si="300"/>
        <v>25.351111111111109</v>
      </c>
    </row>
    <row r="61" spans="1:155" x14ac:dyDescent="0.3">
      <c r="T61" s="26"/>
    </row>
  </sheetData>
  <mergeCells count="24">
    <mergeCell ref="A30:A35"/>
    <mergeCell ref="B30:B35"/>
    <mergeCell ref="C30:C35"/>
    <mergeCell ref="B37:B42"/>
    <mergeCell ref="C37:C42"/>
    <mergeCell ref="A37:A42"/>
    <mergeCell ref="A44:A49"/>
    <mergeCell ref="B44:B49"/>
    <mergeCell ref="C44:C49"/>
    <mergeCell ref="A51:A56"/>
    <mergeCell ref="B51:B56"/>
    <mergeCell ref="C51:C56"/>
    <mergeCell ref="A2:A7"/>
    <mergeCell ref="A9:A14"/>
    <mergeCell ref="A16:A21"/>
    <mergeCell ref="A23:A28"/>
    <mergeCell ref="C2:C7"/>
    <mergeCell ref="C9:C14"/>
    <mergeCell ref="C16:C21"/>
    <mergeCell ref="C23:C28"/>
    <mergeCell ref="B16:B21"/>
    <mergeCell ref="B23:B28"/>
    <mergeCell ref="B2:B7"/>
    <mergeCell ref="B9:B14"/>
  </mergeCells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0034-A813-4B56-9CC6-59EA5AD6DF02}">
  <dimension ref="A1:EY35"/>
  <sheetViews>
    <sheetView showGridLines="0" topLeftCell="B1" workbookViewId="0">
      <selection activeCell="EE12" sqref="EE12:ET12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9" width="8.88671875" hidden="1" customWidth="1"/>
    <col min="110" max="114" width="0" hidden="1" customWidth="1"/>
    <col min="115" max="134" width="8.88671875" hidden="1" customWidth="1"/>
    <col min="135" max="150" width="8.88671875" customWidth="1"/>
    <col min="151" max="155" width="8.88671875" hidden="1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BR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si="0"/>
        <v>45655</v>
      </c>
      <c r="AY1" s="14">
        <f t="shared" si="0"/>
        <v>45662</v>
      </c>
      <c r="AZ1" s="14">
        <f t="shared" si="0"/>
        <v>45669</v>
      </c>
      <c r="BA1" s="14">
        <f t="shared" si="0"/>
        <v>45676</v>
      </c>
      <c r="BB1" s="14">
        <f t="shared" si="0"/>
        <v>45683</v>
      </c>
      <c r="BC1" s="14">
        <f t="shared" si="0"/>
        <v>45690</v>
      </c>
      <c r="BD1" s="14">
        <f t="shared" si="0"/>
        <v>45697</v>
      </c>
      <c r="BE1" s="14">
        <f t="shared" si="0"/>
        <v>45704</v>
      </c>
      <c r="BF1" s="14">
        <f t="shared" si="0"/>
        <v>45711</v>
      </c>
      <c r="BG1" s="14">
        <f t="shared" si="0"/>
        <v>45718</v>
      </c>
      <c r="BH1" s="14">
        <f t="shared" si="0"/>
        <v>45725</v>
      </c>
      <c r="BI1" s="14">
        <f t="shared" si="0"/>
        <v>45732</v>
      </c>
      <c r="BJ1" s="14">
        <f t="shared" si="0"/>
        <v>45739</v>
      </c>
      <c r="BK1" s="14">
        <f t="shared" si="0"/>
        <v>45746</v>
      </c>
      <c r="BL1" s="14">
        <f t="shared" si="0"/>
        <v>45753</v>
      </c>
      <c r="BM1" s="14">
        <f t="shared" si="0"/>
        <v>45760</v>
      </c>
      <c r="BN1" s="14">
        <f t="shared" si="0"/>
        <v>45767</v>
      </c>
      <c r="BO1" s="14">
        <f t="shared" si="0"/>
        <v>45774</v>
      </c>
      <c r="BP1" s="14">
        <f t="shared" si="0"/>
        <v>45781</v>
      </c>
      <c r="BQ1" s="14">
        <f t="shared" si="0"/>
        <v>45788</v>
      </c>
      <c r="BR1" s="14">
        <f t="shared" si="0"/>
        <v>45795</v>
      </c>
      <c r="BS1" s="14">
        <f t="shared" ref="BS1:ED1" si="1">BR1+7</f>
        <v>45802</v>
      </c>
      <c r="BT1" s="14">
        <f t="shared" si="1"/>
        <v>45809</v>
      </c>
      <c r="BU1" s="14">
        <f t="shared" si="1"/>
        <v>45816</v>
      </c>
      <c r="BV1" s="14">
        <f t="shared" si="1"/>
        <v>45823</v>
      </c>
      <c r="BW1" s="14">
        <f t="shared" si="1"/>
        <v>45830</v>
      </c>
      <c r="BX1" s="14">
        <f t="shared" si="1"/>
        <v>45837</v>
      </c>
      <c r="BY1" s="14">
        <f t="shared" si="1"/>
        <v>45844</v>
      </c>
      <c r="BZ1" s="14">
        <f t="shared" si="1"/>
        <v>45851</v>
      </c>
      <c r="CA1" s="14">
        <f t="shared" si="1"/>
        <v>45858</v>
      </c>
      <c r="CB1" s="14">
        <f t="shared" si="1"/>
        <v>45865</v>
      </c>
      <c r="CC1" s="14">
        <f t="shared" si="1"/>
        <v>45872</v>
      </c>
      <c r="CD1" s="14">
        <f t="shared" si="1"/>
        <v>45879</v>
      </c>
      <c r="CE1" s="14">
        <f t="shared" si="1"/>
        <v>45886</v>
      </c>
      <c r="CF1" s="14">
        <f t="shared" si="1"/>
        <v>45893</v>
      </c>
      <c r="CG1" s="14">
        <f t="shared" si="1"/>
        <v>45900</v>
      </c>
      <c r="CH1" s="14">
        <f t="shared" si="1"/>
        <v>45907</v>
      </c>
      <c r="CI1" s="14">
        <f t="shared" si="1"/>
        <v>45914</v>
      </c>
      <c r="CJ1" s="14">
        <f t="shared" si="1"/>
        <v>45921</v>
      </c>
      <c r="CK1" s="14">
        <f t="shared" si="1"/>
        <v>45928</v>
      </c>
      <c r="CL1" s="14">
        <f t="shared" si="1"/>
        <v>45935</v>
      </c>
      <c r="CM1" s="14">
        <f t="shared" si="1"/>
        <v>45942</v>
      </c>
      <c r="CN1" s="14">
        <f t="shared" si="1"/>
        <v>45949</v>
      </c>
      <c r="CO1" s="14">
        <f t="shared" si="1"/>
        <v>45956</v>
      </c>
      <c r="CP1" s="14">
        <f t="shared" si="1"/>
        <v>45963</v>
      </c>
      <c r="CQ1" s="14">
        <f t="shared" si="1"/>
        <v>45970</v>
      </c>
      <c r="CR1" s="14">
        <f t="shared" si="1"/>
        <v>45977</v>
      </c>
      <c r="CS1" s="14">
        <f t="shared" si="1"/>
        <v>45984</v>
      </c>
      <c r="CT1" s="14">
        <f t="shared" si="1"/>
        <v>45991</v>
      </c>
      <c r="CU1" s="14">
        <f t="shared" si="1"/>
        <v>45998</v>
      </c>
      <c r="CV1" s="14">
        <f t="shared" si="1"/>
        <v>46005</v>
      </c>
      <c r="CW1" s="14">
        <f t="shared" si="1"/>
        <v>46012</v>
      </c>
      <c r="CX1" s="14">
        <f t="shared" si="1"/>
        <v>46019</v>
      </c>
      <c r="CY1" s="14">
        <f t="shared" si="1"/>
        <v>46026</v>
      </c>
      <c r="CZ1" s="14">
        <f t="shared" si="1"/>
        <v>46033</v>
      </c>
      <c r="DA1" s="14">
        <f t="shared" si="1"/>
        <v>46040</v>
      </c>
      <c r="DB1" s="14">
        <f t="shared" si="1"/>
        <v>46047</v>
      </c>
      <c r="DC1" s="14">
        <f t="shared" si="1"/>
        <v>46054</v>
      </c>
      <c r="DD1" s="14">
        <f t="shared" si="1"/>
        <v>46061</v>
      </c>
      <c r="DE1" s="14">
        <f t="shared" si="1"/>
        <v>46068</v>
      </c>
      <c r="DF1" s="14">
        <f t="shared" si="1"/>
        <v>46075</v>
      </c>
      <c r="DG1" s="14">
        <f t="shared" si="1"/>
        <v>46082</v>
      </c>
      <c r="DH1" s="14">
        <f t="shared" si="1"/>
        <v>46089</v>
      </c>
      <c r="DI1" s="14">
        <f t="shared" si="1"/>
        <v>46096</v>
      </c>
      <c r="DJ1" s="14">
        <f t="shared" si="1"/>
        <v>46103</v>
      </c>
      <c r="DK1" s="14">
        <f t="shared" si="1"/>
        <v>46110</v>
      </c>
      <c r="DL1" s="14">
        <f t="shared" si="1"/>
        <v>46117</v>
      </c>
      <c r="DM1" s="14">
        <f t="shared" si="1"/>
        <v>46124</v>
      </c>
      <c r="DN1" s="14">
        <f t="shared" si="1"/>
        <v>46131</v>
      </c>
      <c r="DO1" s="14">
        <f t="shared" si="1"/>
        <v>46138</v>
      </c>
      <c r="DP1" s="14">
        <f t="shared" si="1"/>
        <v>46145</v>
      </c>
      <c r="DQ1" s="14">
        <f t="shared" si="1"/>
        <v>46152</v>
      </c>
      <c r="DR1" s="14">
        <f t="shared" si="1"/>
        <v>46159</v>
      </c>
      <c r="DS1" s="14">
        <f t="shared" si="1"/>
        <v>46166</v>
      </c>
      <c r="DT1" s="14">
        <f t="shared" si="1"/>
        <v>46173</v>
      </c>
      <c r="DU1" s="14">
        <f t="shared" si="1"/>
        <v>46180</v>
      </c>
      <c r="DV1" s="14">
        <f t="shared" si="1"/>
        <v>46187</v>
      </c>
      <c r="DW1" s="14">
        <f t="shared" si="1"/>
        <v>46194</v>
      </c>
      <c r="DX1" s="14">
        <f t="shared" si="1"/>
        <v>46201</v>
      </c>
      <c r="DY1" s="14">
        <f t="shared" si="1"/>
        <v>46208</v>
      </c>
      <c r="DZ1" s="14">
        <f t="shared" si="1"/>
        <v>46215</v>
      </c>
      <c r="EA1" s="14">
        <f t="shared" si="1"/>
        <v>46222</v>
      </c>
      <c r="EB1" s="14">
        <f t="shared" si="1"/>
        <v>46229</v>
      </c>
      <c r="EC1" s="14">
        <f t="shared" si="1"/>
        <v>46236</v>
      </c>
      <c r="ED1" s="14">
        <f t="shared" si="1"/>
        <v>46243</v>
      </c>
      <c r="EE1" s="14">
        <f t="shared" ref="EE1:EY1" si="2">ED1+7</f>
        <v>46250</v>
      </c>
      <c r="EF1" s="14">
        <f t="shared" si="2"/>
        <v>46257</v>
      </c>
      <c r="EG1" s="14">
        <f t="shared" si="2"/>
        <v>46264</v>
      </c>
      <c r="EH1" s="14">
        <f t="shared" si="2"/>
        <v>46271</v>
      </c>
      <c r="EI1" s="14">
        <f t="shared" si="2"/>
        <v>46278</v>
      </c>
      <c r="EJ1" s="14">
        <f t="shared" si="2"/>
        <v>46285</v>
      </c>
      <c r="EK1" s="14">
        <f t="shared" si="2"/>
        <v>46292</v>
      </c>
      <c r="EL1" s="14">
        <f t="shared" si="2"/>
        <v>46299</v>
      </c>
      <c r="EM1" s="14">
        <f t="shared" si="2"/>
        <v>46306</v>
      </c>
      <c r="EN1" s="14">
        <f t="shared" si="2"/>
        <v>46313</v>
      </c>
      <c r="EO1" s="14">
        <f t="shared" si="2"/>
        <v>46320</v>
      </c>
      <c r="EP1" s="14">
        <f t="shared" si="2"/>
        <v>46327</v>
      </c>
      <c r="EQ1" s="14">
        <f t="shared" si="2"/>
        <v>46334</v>
      </c>
      <c r="ER1" s="14">
        <f t="shared" si="2"/>
        <v>46341</v>
      </c>
      <c r="ES1" s="14">
        <f t="shared" si="2"/>
        <v>46348</v>
      </c>
      <c r="ET1" s="14">
        <f t="shared" si="2"/>
        <v>46355</v>
      </c>
      <c r="EU1" s="14">
        <f t="shared" si="2"/>
        <v>46362</v>
      </c>
      <c r="EV1" s="14">
        <f t="shared" si="2"/>
        <v>46369</v>
      </c>
      <c r="EW1" s="14">
        <f t="shared" si="2"/>
        <v>46376</v>
      </c>
      <c r="EX1" s="14">
        <f t="shared" si="2"/>
        <v>46383</v>
      </c>
      <c r="EY1" s="14">
        <f t="shared" si="2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BP7" si="3">E4/E2</f>
        <v>#DIV/0!</v>
      </c>
      <c r="F6" s="19" t="e">
        <f t="shared" si="3"/>
        <v>#DIV/0!</v>
      </c>
      <c r="G6" s="19" t="e">
        <f t="shared" si="3"/>
        <v>#DIV/0!</v>
      </c>
      <c r="H6" s="19" t="e">
        <f t="shared" si="3"/>
        <v>#DIV/0!</v>
      </c>
      <c r="I6" s="19" t="e">
        <f t="shared" si="3"/>
        <v>#DIV/0!</v>
      </c>
      <c r="J6" s="19" t="e">
        <f t="shared" si="3"/>
        <v>#DIV/0!</v>
      </c>
      <c r="K6" s="19" t="e">
        <f t="shared" si="3"/>
        <v>#DIV/0!</v>
      </c>
      <c r="L6" s="19" t="e">
        <f t="shared" si="3"/>
        <v>#DIV/0!</v>
      </c>
      <c r="M6" s="19" t="e">
        <f t="shared" si="3"/>
        <v>#DIV/0!</v>
      </c>
      <c r="N6" s="19" t="e">
        <f t="shared" si="3"/>
        <v>#DIV/0!</v>
      </c>
      <c r="O6" s="19" t="e">
        <f t="shared" si="3"/>
        <v>#DIV/0!</v>
      </c>
      <c r="P6" s="19" t="e">
        <f t="shared" si="3"/>
        <v>#DIV/0!</v>
      </c>
      <c r="Q6" s="19">
        <f t="shared" si="3"/>
        <v>0.89047619047619042</v>
      </c>
      <c r="R6" s="19">
        <f t="shared" si="3"/>
        <v>0.6611785714285715</v>
      </c>
      <c r="S6" s="19">
        <f t="shared" si="3"/>
        <v>0.7212857142857142</v>
      </c>
      <c r="T6" s="19">
        <f t="shared" si="3"/>
        <v>0.36064285714285715</v>
      </c>
      <c r="U6" s="19">
        <f t="shared" si="3"/>
        <v>0.71562857142857139</v>
      </c>
      <c r="V6" s="19">
        <f t="shared" si="3"/>
        <v>1.0578857142857141</v>
      </c>
      <c r="W6" s="19">
        <f t="shared" si="3"/>
        <v>0.5714285714285714</v>
      </c>
      <c r="X6" s="19">
        <f t="shared" si="3"/>
        <v>0.8928571428571429</v>
      </c>
      <c r="Y6" s="19">
        <f t="shared" si="3"/>
        <v>0.8571428571428571</v>
      </c>
      <c r="Z6" s="19">
        <f t="shared" si="3"/>
        <v>0.8571428571428571</v>
      </c>
      <c r="AA6" s="19">
        <f t="shared" si="3"/>
        <v>0.8571428571428571</v>
      </c>
      <c r="AB6" s="19">
        <f t="shared" si="3"/>
        <v>0.7857142857142857</v>
      </c>
      <c r="AC6" s="19">
        <f t="shared" si="3"/>
        <v>0.6785714285714286</v>
      </c>
      <c r="AD6" s="19">
        <f t="shared" si="3"/>
        <v>1</v>
      </c>
      <c r="AE6" s="19">
        <f t="shared" si="3"/>
        <v>0.42857142857142855</v>
      </c>
      <c r="AF6" s="19">
        <f t="shared" si="3"/>
        <v>0.75</v>
      </c>
      <c r="AG6" s="19">
        <f t="shared" si="3"/>
        <v>0.75</v>
      </c>
      <c r="AH6" s="19">
        <f t="shared" si="3"/>
        <v>0.6071428571428571</v>
      </c>
      <c r="AI6" s="19">
        <f t="shared" si="3"/>
        <v>0.5714285714285714</v>
      </c>
      <c r="AJ6" s="19">
        <f t="shared" si="3"/>
        <v>0.8214285714285714</v>
      </c>
      <c r="AK6" s="19">
        <f t="shared" si="3"/>
        <v>0.7857142857142857</v>
      </c>
      <c r="AL6" s="19">
        <f t="shared" si="3"/>
        <v>0.7857142857142857</v>
      </c>
      <c r="AM6" s="19">
        <f t="shared" si="3"/>
        <v>0.75</v>
      </c>
      <c r="AN6" s="19">
        <f t="shared" si="3"/>
        <v>0.7142857142857143</v>
      </c>
      <c r="AO6" s="19">
        <f t="shared" si="3"/>
        <v>0.7142857142857143</v>
      </c>
      <c r="AP6" s="19">
        <f t="shared" si="3"/>
        <v>0.7142857142857143</v>
      </c>
      <c r="AQ6" s="19">
        <f t="shared" si="3"/>
        <v>0.7142857142857143</v>
      </c>
      <c r="AR6" s="19">
        <f t="shared" si="3"/>
        <v>0.9642857142857143</v>
      </c>
      <c r="AS6" s="19">
        <f t="shared" si="3"/>
        <v>1.2142857142857142</v>
      </c>
      <c r="AT6" s="19">
        <f t="shared" si="3"/>
        <v>1.2142857142857142</v>
      </c>
      <c r="AU6" s="19">
        <f t="shared" si="3"/>
        <v>1.2857142857142858</v>
      </c>
      <c r="AV6" s="19">
        <f t="shared" si="3"/>
        <v>1.2142857142857142</v>
      </c>
      <c r="AW6" s="19">
        <f t="shared" si="3"/>
        <v>1.2142857142857142</v>
      </c>
      <c r="AX6" s="19" t="e">
        <f t="shared" si="3"/>
        <v>#DIV/0!</v>
      </c>
      <c r="AY6" s="19" t="e">
        <f t="shared" si="3"/>
        <v>#DIV/0!</v>
      </c>
      <c r="AZ6" s="19" t="e">
        <f t="shared" si="3"/>
        <v>#DIV/0!</v>
      </c>
      <c r="BA6" s="19" t="e">
        <f t="shared" si="3"/>
        <v>#DIV/0!</v>
      </c>
      <c r="BB6" s="19" t="e">
        <f t="shared" si="3"/>
        <v>#DIV/0!</v>
      </c>
      <c r="BC6" s="19" t="e">
        <f t="shared" si="3"/>
        <v>#DIV/0!</v>
      </c>
      <c r="BD6" s="19" t="e">
        <f t="shared" si="3"/>
        <v>#DIV/0!</v>
      </c>
      <c r="BE6" s="19" t="e">
        <f t="shared" si="3"/>
        <v>#DIV/0!</v>
      </c>
      <c r="BF6" s="19" t="e">
        <f t="shared" si="3"/>
        <v>#DIV/0!</v>
      </c>
      <c r="BG6" s="19" t="e">
        <f t="shared" si="3"/>
        <v>#DIV/0!</v>
      </c>
      <c r="BH6" s="19" t="e">
        <f t="shared" si="3"/>
        <v>#DIV/0!</v>
      </c>
      <c r="BI6" s="19" t="e">
        <f t="shared" si="3"/>
        <v>#DIV/0!</v>
      </c>
      <c r="BJ6" s="19" t="e">
        <f t="shared" si="3"/>
        <v>#DIV/0!</v>
      </c>
      <c r="BK6" s="19" t="e">
        <f t="shared" si="3"/>
        <v>#DIV/0!</v>
      </c>
      <c r="BL6" s="19" t="e">
        <f t="shared" si="3"/>
        <v>#DIV/0!</v>
      </c>
      <c r="BM6" s="19" t="e">
        <f t="shared" si="3"/>
        <v>#DIV/0!</v>
      </c>
      <c r="BN6" s="19" t="e">
        <f t="shared" si="3"/>
        <v>#DIV/0!</v>
      </c>
      <c r="BO6" s="19" t="e">
        <f t="shared" si="3"/>
        <v>#DIV/0!</v>
      </c>
      <c r="BP6" s="19" t="e">
        <f t="shared" si="3"/>
        <v>#DIV/0!</v>
      </c>
      <c r="BQ6" s="19" t="e">
        <f t="shared" ref="BQ6:EB6" si="4">BQ4/BQ2</f>
        <v>#DIV/0!</v>
      </c>
      <c r="BR6" s="19" t="e">
        <f t="shared" si="4"/>
        <v>#DIV/0!</v>
      </c>
      <c r="BS6" s="19" t="e">
        <f t="shared" si="4"/>
        <v>#DIV/0!</v>
      </c>
      <c r="BT6" s="19" t="e">
        <f t="shared" si="4"/>
        <v>#DIV/0!</v>
      </c>
      <c r="BU6" s="19" t="e">
        <f t="shared" si="4"/>
        <v>#DIV/0!</v>
      </c>
      <c r="BV6" s="19" t="e">
        <f t="shared" si="4"/>
        <v>#DIV/0!</v>
      </c>
      <c r="BW6" s="19" t="e">
        <f t="shared" si="4"/>
        <v>#DIV/0!</v>
      </c>
      <c r="BX6" s="19" t="e">
        <f t="shared" si="4"/>
        <v>#DIV/0!</v>
      </c>
      <c r="BY6" s="19" t="e">
        <f t="shared" si="4"/>
        <v>#DIV/0!</v>
      </c>
      <c r="BZ6" s="19" t="e">
        <f t="shared" si="4"/>
        <v>#DIV/0!</v>
      </c>
      <c r="CA6" s="19" t="e">
        <f t="shared" si="4"/>
        <v>#DIV/0!</v>
      </c>
      <c r="CB6" s="19" t="e">
        <f t="shared" si="4"/>
        <v>#DIV/0!</v>
      </c>
      <c r="CC6" s="19" t="e">
        <f t="shared" si="4"/>
        <v>#DIV/0!</v>
      </c>
      <c r="CD6" s="19" t="e">
        <f t="shared" si="4"/>
        <v>#DIV/0!</v>
      </c>
      <c r="CE6" s="19" t="e">
        <f t="shared" si="4"/>
        <v>#DIV/0!</v>
      </c>
      <c r="CF6" s="19" t="e">
        <f t="shared" si="4"/>
        <v>#DIV/0!</v>
      </c>
      <c r="CG6" s="19" t="e">
        <f t="shared" si="4"/>
        <v>#DIV/0!</v>
      </c>
      <c r="CH6" s="19" t="e">
        <f t="shared" si="4"/>
        <v>#DIV/0!</v>
      </c>
      <c r="CI6" s="19" t="e">
        <f t="shared" si="4"/>
        <v>#DIV/0!</v>
      </c>
      <c r="CJ6" s="19" t="e">
        <f t="shared" si="4"/>
        <v>#DIV/0!</v>
      </c>
      <c r="CK6" s="19" t="e">
        <f t="shared" si="4"/>
        <v>#DIV/0!</v>
      </c>
      <c r="CL6" s="19" t="e">
        <f t="shared" si="4"/>
        <v>#DIV/0!</v>
      </c>
      <c r="CM6" s="19" t="e">
        <f t="shared" si="4"/>
        <v>#DIV/0!</v>
      </c>
      <c r="CN6" s="19" t="e">
        <f t="shared" si="4"/>
        <v>#DIV/0!</v>
      </c>
      <c r="CO6" s="19" t="e">
        <f t="shared" si="4"/>
        <v>#DIV/0!</v>
      </c>
      <c r="CP6" s="19" t="e">
        <f t="shared" si="4"/>
        <v>#DIV/0!</v>
      </c>
      <c r="CQ6" s="19" t="e">
        <f t="shared" si="4"/>
        <v>#DIV/0!</v>
      </c>
      <c r="CR6" s="19" t="e">
        <f t="shared" si="4"/>
        <v>#DIV/0!</v>
      </c>
      <c r="CS6" s="19" t="e">
        <f t="shared" si="4"/>
        <v>#DIV/0!</v>
      </c>
      <c r="CT6" s="19" t="e">
        <f t="shared" si="4"/>
        <v>#DIV/0!</v>
      </c>
      <c r="CU6" s="19" t="e">
        <f t="shared" si="4"/>
        <v>#DIV/0!</v>
      </c>
      <c r="CV6" s="19" t="e">
        <f t="shared" si="4"/>
        <v>#DIV/0!</v>
      </c>
      <c r="CW6" s="19" t="e">
        <f t="shared" si="4"/>
        <v>#DIV/0!</v>
      </c>
      <c r="CX6" s="19" t="e">
        <f t="shared" si="4"/>
        <v>#DIV/0!</v>
      </c>
      <c r="CY6" s="19" t="e">
        <f t="shared" si="4"/>
        <v>#DIV/0!</v>
      </c>
      <c r="CZ6" s="19" t="e">
        <f t="shared" si="4"/>
        <v>#DIV/0!</v>
      </c>
      <c r="DA6" s="19" t="e">
        <f t="shared" si="4"/>
        <v>#DIV/0!</v>
      </c>
      <c r="DB6" s="19" t="e">
        <f t="shared" si="4"/>
        <v>#DIV/0!</v>
      </c>
      <c r="DC6" s="19" t="e">
        <f t="shared" si="4"/>
        <v>#DIV/0!</v>
      </c>
      <c r="DD6" s="19" t="e">
        <f t="shared" si="4"/>
        <v>#DIV/0!</v>
      </c>
      <c r="DE6" s="19" t="e">
        <f t="shared" si="4"/>
        <v>#DIV/0!</v>
      </c>
      <c r="DF6" s="19" t="e">
        <f t="shared" si="4"/>
        <v>#DIV/0!</v>
      </c>
      <c r="DG6" s="19" t="e">
        <f t="shared" si="4"/>
        <v>#DIV/0!</v>
      </c>
      <c r="DH6" s="19" t="e">
        <f t="shared" si="4"/>
        <v>#DIV/0!</v>
      </c>
      <c r="DI6" s="19" t="e">
        <f t="shared" si="4"/>
        <v>#DIV/0!</v>
      </c>
      <c r="DJ6" s="19" t="e">
        <f t="shared" si="4"/>
        <v>#DIV/0!</v>
      </c>
      <c r="DK6" s="19" t="e">
        <f t="shared" si="4"/>
        <v>#DIV/0!</v>
      </c>
      <c r="DL6" s="19" t="e">
        <f t="shared" si="4"/>
        <v>#DIV/0!</v>
      </c>
      <c r="DM6" s="19" t="e">
        <f t="shared" si="4"/>
        <v>#DIV/0!</v>
      </c>
      <c r="DN6" s="19" t="e">
        <f t="shared" si="4"/>
        <v>#DIV/0!</v>
      </c>
      <c r="DO6" s="19" t="e">
        <f t="shared" si="4"/>
        <v>#DIV/0!</v>
      </c>
      <c r="DP6" s="19" t="e">
        <f t="shared" si="4"/>
        <v>#DIV/0!</v>
      </c>
      <c r="DQ6" s="19" t="e">
        <f t="shared" si="4"/>
        <v>#DIV/0!</v>
      </c>
      <c r="DR6" s="19" t="e">
        <f t="shared" si="4"/>
        <v>#DIV/0!</v>
      </c>
      <c r="DS6" s="19" t="e">
        <f t="shared" si="4"/>
        <v>#DIV/0!</v>
      </c>
      <c r="DT6" s="19" t="e">
        <f t="shared" si="4"/>
        <v>#DIV/0!</v>
      </c>
      <c r="DU6" s="19" t="e">
        <f t="shared" si="4"/>
        <v>#DIV/0!</v>
      </c>
      <c r="DV6" s="19" t="e">
        <f t="shared" si="4"/>
        <v>#DIV/0!</v>
      </c>
      <c r="DW6" s="19" t="e">
        <f t="shared" si="4"/>
        <v>#DIV/0!</v>
      </c>
      <c r="DX6" s="19" t="e">
        <f t="shared" si="4"/>
        <v>#DIV/0!</v>
      </c>
      <c r="DY6" s="19" t="e">
        <f t="shared" si="4"/>
        <v>#DIV/0!</v>
      </c>
      <c r="DZ6" s="19" t="e">
        <f t="shared" si="4"/>
        <v>#DIV/0!</v>
      </c>
      <c r="EA6" s="19" t="e">
        <f t="shared" si="4"/>
        <v>#DIV/0!</v>
      </c>
      <c r="EB6" s="19" t="e">
        <f t="shared" si="4"/>
        <v>#DIV/0!</v>
      </c>
      <c r="EC6" s="19" t="e">
        <f t="shared" ref="EC6:EY6" si="5">EC4/EC2</f>
        <v>#DIV/0!</v>
      </c>
      <c r="ED6" s="19" t="e">
        <f t="shared" si="5"/>
        <v>#DIV/0!</v>
      </c>
      <c r="EE6" s="19" t="e">
        <f t="shared" si="5"/>
        <v>#DIV/0!</v>
      </c>
      <c r="EF6" s="19" t="e">
        <f t="shared" si="5"/>
        <v>#DIV/0!</v>
      </c>
      <c r="EG6" s="19" t="e">
        <f t="shared" si="5"/>
        <v>#DIV/0!</v>
      </c>
      <c r="EH6" s="19" t="e">
        <f t="shared" si="5"/>
        <v>#DIV/0!</v>
      </c>
      <c r="EI6" s="19" t="e">
        <f t="shared" si="5"/>
        <v>#DIV/0!</v>
      </c>
      <c r="EJ6" s="19" t="e">
        <f t="shared" si="5"/>
        <v>#DIV/0!</v>
      </c>
      <c r="EK6" s="19" t="e">
        <f t="shared" si="5"/>
        <v>#DIV/0!</v>
      </c>
      <c r="EL6" s="19" t="e">
        <f t="shared" si="5"/>
        <v>#DIV/0!</v>
      </c>
      <c r="EM6" s="19" t="e">
        <f t="shared" si="5"/>
        <v>#DIV/0!</v>
      </c>
      <c r="EN6" s="19" t="e">
        <f t="shared" si="5"/>
        <v>#DIV/0!</v>
      </c>
      <c r="EO6" s="19" t="e">
        <f t="shared" si="5"/>
        <v>#DIV/0!</v>
      </c>
      <c r="EP6" s="19" t="e">
        <f t="shared" si="5"/>
        <v>#DIV/0!</v>
      </c>
      <c r="EQ6" s="19" t="e">
        <f t="shared" si="5"/>
        <v>#DIV/0!</v>
      </c>
      <c r="ER6" s="19" t="e">
        <f t="shared" si="5"/>
        <v>#DIV/0!</v>
      </c>
      <c r="ES6" s="19" t="e">
        <f t="shared" si="5"/>
        <v>#DIV/0!</v>
      </c>
      <c r="ET6" s="19" t="e">
        <f t="shared" si="5"/>
        <v>#DIV/0!</v>
      </c>
      <c r="EU6" s="19" t="e">
        <f t="shared" si="5"/>
        <v>#DIV/0!</v>
      </c>
      <c r="EV6" s="19" t="e">
        <f t="shared" si="5"/>
        <v>#DIV/0!</v>
      </c>
      <c r="EW6" s="19" t="e">
        <f t="shared" si="5"/>
        <v>#DIV/0!</v>
      </c>
      <c r="EX6" s="19" t="e">
        <f t="shared" si="5"/>
        <v>#DIV/0!</v>
      </c>
      <c r="EY6" s="19" t="e">
        <f t="shared" si="5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BQ7" si="6">F4/F3</f>
        <v>#DIV/0!</v>
      </c>
      <c r="G7" s="20" t="e">
        <f t="shared" si="6"/>
        <v>#DIV/0!</v>
      </c>
      <c r="H7" s="20" t="e">
        <f t="shared" si="6"/>
        <v>#DIV/0!</v>
      </c>
      <c r="I7" s="20" t="e">
        <f t="shared" si="6"/>
        <v>#DIV/0!</v>
      </c>
      <c r="J7" s="20" t="e">
        <f t="shared" si="6"/>
        <v>#DIV/0!</v>
      </c>
      <c r="K7" s="20" t="e">
        <f t="shared" si="6"/>
        <v>#DIV/0!</v>
      </c>
      <c r="L7" s="20" t="e">
        <f t="shared" si="6"/>
        <v>#DIV/0!</v>
      </c>
      <c r="M7" s="20" t="e">
        <f t="shared" si="6"/>
        <v>#DIV/0!</v>
      </c>
      <c r="N7" s="20" t="e">
        <f t="shared" si="6"/>
        <v>#DIV/0!</v>
      </c>
      <c r="O7" s="20" t="e">
        <f t="shared" si="6"/>
        <v>#DIV/0!</v>
      </c>
      <c r="P7" s="20" t="e">
        <f t="shared" si="6"/>
        <v>#DIV/0!</v>
      </c>
      <c r="Q7" s="20">
        <f t="shared" si="6"/>
        <v>0.85</v>
      </c>
      <c r="R7" s="20">
        <f t="shared" si="6"/>
        <v>0.84150000000000003</v>
      </c>
      <c r="S7" s="20">
        <f t="shared" si="6"/>
        <v>0.91799999999999993</v>
      </c>
      <c r="T7" s="20">
        <f t="shared" si="6"/>
        <v>0.91800000000000004</v>
      </c>
      <c r="U7" s="20">
        <f t="shared" si="6"/>
        <v>0.95417142857142845</v>
      </c>
      <c r="V7" s="20">
        <f t="shared" si="6"/>
        <v>1.4105142857142856</v>
      </c>
      <c r="W7" s="20">
        <f t="shared" si="6"/>
        <v>0.94117647058823528</v>
      </c>
      <c r="X7" s="20">
        <f t="shared" si="6"/>
        <v>0.8928571428571429</v>
      </c>
      <c r="Y7" s="20">
        <f t="shared" si="6"/>
        <v>1</v>
      </c>
      <c r="Z7" s="20">
        <f t="shared" si="6"/>
        <v>0.88888888888888884</v>
      </c>
      <c r="AA7" s="20">
        <f t="shared" si="6"/>
        <v>0.88888888888888884</v>
      </c>
      <c r="AB7" s="20">
        <f>AB5/AB3</f>
        <v>0.96296296296296291</v>
      </c>
      <c r="AC7" s="20">
        <f t="shared" si="3"/>
        <v>0.88</v>
      </c>
      <c r="AD7" s="20">
        <f t="shared" si="3"/>
        <v>1.2592592592592593</v>
      </c>
      <c r="AE7" s="20">
        <f t="shared" si="3"/>
        <v>0.73684210526315785</v>
      </c>
      <c r="AF7" s="20">
        <f t="shared" si="3"/>
        <v>2.2727272727272729</v>
      </c>
      <c r="AG7" s="20">
        <f t="shared" si="3"/>
        <v>1.3157894736842106</v>
      </c>
      <c r="AH7" s="20">
        <f t="shared" si="3"/>
        <v>1.7647058823529411</v>
      </c>
      <c r="AI7" s="20">
        <f t="shared" si="3"/>
        <v>1.7058823529411764</v>
      </c>
      <c r="AJ7" s="20">
        <f t="shared" si="3"/>
        <v>1.0740740740740742</v>
      </c>
      <c r="AK7" s="20">
        <f t="shared" si="3"/>
        <v>1.037037037037037</v>
      </c>
      <c r="AL7" s="20">
        <f t="shared" si="3"/>
        <v>1</v>
      </c>
      <c r="AM7" s="20">
        <f>AM5/AM3</f>
        <v>0.96296296296296291</v>
      </c>
      <c r="AN7" s="20">
        <f t="shared" si="3"/>
        <v>0.96296296296296291</v>
      </c>
      <c r="AO7" s="20">
        <f t="shared" si="3"/>
        <v>0.8666666666666667</v>
      </c>
      <c r="AP7" s="20">
        <f t="shared" si="3"/>
        <v>0.8666666666666667</v>
      </c>
      <c r="AQ7" s="20">
        <f t="shared" si="3"/>
        <v>0.92592592592592593</v>
      </c>
      <c r="AR7" s="20">
        <f t="shared" si="3"/>
        <v>1.7037037037037037</v>
      </c>
      <c r="AS7" s="20">
        <f t="shared" si="6"/>
        <v>1.096774193548387</v>
      </c>
      <c r="AT7" s="20">
        <f t="shared" si="6"/>
        <v>1.2592592592592593</v>
      </c>
      <c r="AU7" s="20">
        <f t="shared" si="6"/>
        <v>1.3333333333333333</v>
      </c>
      <c r="AV7" s="20">
        <f t="shared" si="6"/>
        <v>1.2592592592592593</v>
      </c>
      <c r="AW7" s="20">
        <f t="shared" si="6"/>
        <v>1.1333333333333333</v>
      </c>
      <c r="AX7" s="20">
        <f t="shared" si="6"/>
        <v>1.096774193548387</v>
      </c>
      <c r="AY7" s="20">
        <f t="shared" si="6"/>
        <v>1.2222222222222223</v>
      </c>
      <c r="AZ7" s="20">
        <f t="shared" si="6"/>
        <v>1.1481481481481481</v>
      </c>
      <c r="BA7" s="20">
        <f t="shared" si="6"/>
        <v>1.1111111111111112</v>
      </c>
      <c r="BB7" s="20">
        <f t="shared" si="6"/>
        <v>1.1111111111111112</v>
      </c>
      <c r="BC7" s="20">
        <f t="shared" si="6"/>
        <v>1.0740740740740742</v>
      </c>
      <c r="BD7" s="20">
        <f t="shared" si="6"/>
        <v>1</v>
      </c>
      <c r="BE7" s="20">
        <f t="shared" si="6"/>
        <v>1</v>
      </c>
      <c r="BF7" s="20">
        <f t="shared" si="6"/>
        <v>0.92592592592592593</v>
      </c>
      <c r="BG7" s="20">
        <f t="shared" si="6"/>
        <v>1.0740740740740742</v>
      </c>
      <c r="BH7" s="20">
        <f t="shared" si="6"/>
        <v>1.037037037037037</v>
      </c>
      <c r="BI7" s="20">
        <f t="shared" si="6"/>
        <v>1.037037037037037</v>
      </c>
      <c r="BJ7" s="20">
        <f t="shared" si="6"/>
        <v>1.0357142857142858</v>
      </c>
      <c r="BK7" s="20">
        <f t="shared" si="6"/>
        <v>1.0714285714285714</v>
      </c>
      <c r="BL7" s="20">
        <f t="shared" si="6"/>
        <v>1.0357142857142858</v>
      </c>
      <c r="BM7" s="20">
        <f t="shared" si="6"/>
        <v>0.92592592592592593</v>
      </c>
      <c r="BN7" s="20">
        <f t="shared" si="6"/>
        <v>0.9285714285714286</v>
      </c>
      <c r="BO7" s="20">
        <f t="shared" si="6"/>
        <v>0.92592592592592593</v>
      </c>
      <c r="BP7" s="20">
        <f t="shared" si="6"/>
        <v>0.96</v>
      </c>
      <c r="BQ7" s="20">
        <f t="shared" si="6"/>
        <v>0.88</v>
      </c>
      <c r="BR7" s="20">
        <f t="shared" ref="BR7:EC7" si="7">BR4/BR3</f>
        <v>0.875</v>
      </c>
      <c r="BS7" s="20">
        <f t="shared" si="7"/>
        <v>0.91304347826086951</v>
      </c>
      <c r="BT7" s="20">
        <f t="shared" si="7"/>
        <v>0.86956521739130432</v>
      </c>
      <c r="BU7" s="20">
        <f t="shared" si="7"/>
        <v>0.78260869565217395</v>
      </c>
      <c r="BV7" s="20">
        <f t="shared" si="7"/>
        <v>0.77272727272727271</v>
      </c>
      <c r="BW7" s="20">
        <f t="shared" si="7"/>
        <v>0.72727272727272729</v>
      </c>
      <c r="BX7" s="20">
        <f t="shared" si="7"/>
        <v>1.5555555555555556</v>
      </c>
      <c r="BY7" s="20" t="e">
        <f t="shared" si="7"/>
        <v>#DIV/0!</v>
      </c>
      <c r="BZ7" s="20" t="e">
        <f t="shared" si="7"/>
        <v>#DIV/0!</v>
      </c>
      <c r="CA7" s="20" t="e">
        <f t="shared" si="7"/>
        <v>#DIV/0!</v>
      </c>
      <c r="CB7" s="20" t="e">
        <f t="shared" si="7"/>
        <v>#DIV/0!</v>
      </c>
      <c r="CC7" s="20" t="e">
        <f t="shared" si="7"/>
        <v>#DIV/0!</v>
      </c>
      <c r="CD7" s="20" t="e">
        <f t="shared" si="7"/>
        <v>#DIV/0!</v>
      </c>
      <c r="CE7" s="20" t="e">
        <f t="shared" si="7"/>
        <v>#DIV/0!</v>
      </c>
      <c r="CF7" s="20" t="e">
        <f t="shared" si="7"/>
        <v>#DIV/0!</v>
      </c>
      <c r="CG7" s="20" t="e">
        <f t="shared" si="7"/>
        <v>#DIV/0!</v>
      </c>
      <c r="CH7" s="20" t="e">
        <f t="shared" si="7"/>
        <v>#DIV/0!</v>
      </c>
      <c r="CI7" s="20" t="e">
        <f t="shared" si="7"/>
        <v>#DIV/0!</v>
      </c>
      <c r="CJ7" s="20" t="e">
        <f t="shared" si="7"/>
        <v>#DIV/0!</v>
      </c>
      <c r="CK7" s="20" t="e">
        <f t="shared" si="7"/>
        <v>#DIV/0!</v>
      </c>
      <c r="CL7" s="20" t="e">
        <f t="shared" si="7"/>
        <v>#DIV/0!</v>
      </c>
      <c r="CM7" s="20" t="e">
        <f t="shared" si="7"/>
        <v>#DIV/0!</v>
      </c>
      <c r="CN7" s="20" t="e">
        <f t="shared" si="7"/>
        <v>#DIV/0!</v>
      </c>
      <c r="CO7" s="20" t="e">
        <f t="shared" si="7"/>
        <v>#DIV/0!</v>
      </c>
      <c r="CP7" s="20" t="e">
        <f t="shared" si="7"/>
        <v>#DIV/0!</v>
      </c>
      <c r="CQ7" s="20" t="e">
        <f t="shared" si="7"/>
        <v>#DIV/0!</v>
      </c>
      <c r="CR7" s="20" t="e">
        <f t="shared" si="7"/>
        <v>#DIV/0!</v>
      </c>
      <c r="CS7" s="20" t="e">
        <f t="shared" si="7"/>
        <v>#DIV/0!</v>
      </c>
      <c r="CT7" s="20" t="e">
        <f t="shared" si="7"/>
        <v>#DIV/0!</v>
      </c>
      <c r="CU7" s="20" t="e">
        <f t="shared" si="7"/>
        <v>#DIV/0!</v>
      </c>
      <c r="CV7" s="20" t="e">
        <f t="shared" si="7"/>
        <v>#DIV/0!</v>
      </c>
      <c r="CW7" s="20" t="e">
        <f t="shared" si="7"/>
        <v>#DIV/0!</v>
      </c>
      <c r="CX7" s="20" t="e">
        <f t="shared" si="7"/>
        <v>#DIV/0!</v>
      </c>
      <c r="CY7" s="20" t="e">
        <f t="shared" si="7"/>
        <v>#DIV/0!</v>
      </c>
      <c r="CZ7" s="20" t="e">
        <f t="shared" si="7"/>
        <v>#DIV/0!</v>
      </c>
      <c r="DA7" s="20" t="e">
        <f t="shared" si="7"/>
        <v>#DIV/0!</v>
      </c>
      <c r="DB7" s="20" t="e">
        <f t="shared" si="7"/>
        <v>#DIV/0!</v>
      </c>
      <c r="DC7" s="20" t="e">
        <f t="shared" si="7"/>
        <v>#DIV/0!</v>
      </c>
      <c r="DD7" s="20" t="e">
        <f t="shared" si="7"/>
        <v>#DIV/0!</v>
      </c>
      <c r="DE7" s="20" t="e">
        <f t="shared" si="7"/>
        <v>#DIV/0!</v>
      </c>
      <c r="DF7" s="20" t="e">
        <f t="shared" si="7"/>
        <v>#DIV/0!</v>
      </c>
      <c r="DG7" s="20" t="e">
        <f t="shared" si="7"/>
        <v>#DIV/0!</v>
      </c>
      <c r="DH7" s="20" t="e">
        <f t="shared" si="7"/>
        <v>#DIV/0!</v>
      </c>
      <c r="DI7" s="20" t="e">
        <f t="shared" si="7"/>
        <v>#DIV/0!</v>
      </c>
      <c r="DJ7" s="20" t="e">
        <f t="shared" si="7"/>
        <v>#DIV/0!</v>
      </c>
      <c r="DK7" s="20" t="e">
        <f t="shared" si="7"/>
        <v>#DIV/0!</v>
      </c>
      <c r="DL7" s="20" t="e">
        <f t="shared" si="7"/>
        <v>#DIV/0!</v>
      </c>
      <c r="DM7" s="20" t="e">
        <f t="shared" si="7"/>
        <v>#DIV/0!</v>
      </c>
      <c r="DN7" s="20" t="e">
        <f t="shared" si="7"/>
        <v>#DIV/0!</v>
      </c>
      <c r="DO7" s="20" t="e">
        <f t="shared" si="7"/>
        <v>#DIV/0!</v>
      </c>
      <c r="DP7" s="20" t="e">
        <f t="shared" si="7"/>
        <v>#DIV/0!</v>
      </c>
      <c r="DQ7" s="20" t="e">
        <f t="shared" si="7"/>
        <v>#DIV/0!</v>
      </c>
      <c r="DR7" s="20" t="e">
        <f t="shared" si="7"/>
        <v>#DIV/0!</v>
      </c>
      <c r="DS7" s="20" t="e">
        <f t="shared" si="7"/>
        <v>#DIV/0!</v>
      </c>
      <c r="DT7" s="20" t="e">
        <f t="shared" si="7"/>
        <v>#DIV/0!</v>
      </c>
      <c r="DU7" s="20" t="e">
        <f t="shared" si="7"/>
        <v>#DIV/0!</v>
      </c>
      <c r="DV7" s="20" t="e">
        <f t="shared" si="7"/>
        <v>#DIV/0!</v>
      </c>
      <c r="DW7" s="20" t="e">
        <f t="shared" si="7"/>
        <v>#DIV/0!</v>
      </c>
      <c r="DX7" s="20" t="e">
        <f t="shared" si="7"/>
        <v>#DIV/0!</v>
      </c>
      <c r="DY7" s="20" t="e">
        <f t="shared" si="7"/>
        <v>#DIV/0!</v>
      </c>
      <c r="DZ7" s="20" t="e">
        <f t="shared" si="7"/>
        <v>#DIV/0!</v>
      </c>
      <c r="EA7" s="20" t="e">
        <f t="shared" si="7"/>
        <v>#DIV/0!</v>
      </c>
      <c r="EB7" s="20" t="e">
        <f t="shared" si="7"/>
        <v>#DIV/0!</v>
      </c>
      <c r="EC7" s="20" t="e">
        <f t="shared" si="7"/>
        <v>#DIV/0!</v>
      </c>
      <c r="ED7" s="20" t="e">
        <f t="shared" ref="ED7:EY7" si="8">ED4/ED3</f>
        <v>#DIV/0!</v>
      </c>
      <c r="EE7" s="20" t="e">
        <f t="shared" si="8"/>
        <v>#DIV/0!</v>
      </c>
      <c r="EF7" s="20" t="e">
        <f t="shared" si="8"/>
        <v>#DIV/0!</v>
      </c>
      <c r="EG7" s="20" t="e">
        <f t="shared" si="8"/>
        <v>#DIV/0!</v>
      </c>
      <c r="EH7" s="20" t="e">
        <f t="shared" si="8"/>
        <v>#DIV/0!</v>
      </c>
      <c r="EI7" s="20" t="e">
        <f t="shared" si="8"/>
        <v>#DIV/0!</v>
      </c>
      <c r="EJ7" s="20" t="e">
        <f t="shared" si="8"/>
        <v>#DIV/0!</v>
      </c>
      <c r="EK7" s="20" t="e">
        <f t="shared" si="8"/>
        <v>#DIV/0!</v>
      </c>
      <c r="EL7" s="20" t="e">
        <f t="shared" si="8"/>
        <v>#DIV/0!</v>
      </c>
      <c r="EM7" s="20" t="e">
        <f t="shared" si="8"/>
        <v>#DIV/0!</v>
      </c>
      <c r="EN7" s="20" t="e">
        <f t="shared" si="8"/>
        <v>#DIV/0!</v>
      </c>
      <c r="EO7" s="20" t="e">
        <f t="shared" si="8"/>
        <v>#DIV/0!</v>
      </c>
      <c r="EP7" s="20" t="e">
        <f t="shared" si="8"/>
        <v>#DIV/0!</v>
      </c>
      <c r="EQ7" s="20" t="e">
        <f t="shared" si="8"/>
        <v>#DIV/0!</v>
      </c>
      <c r="ER7" s="20" t="e">
        <f t="shared" si="8"/>
        <v>#DIV/0!</v>
      </c>
      <c r="ES7" s="20" t="e">
        <f t="shared" si="8"/>
        <v>#DIV/0!</v>
      </c>
      <c r="ET7" s="20" t="e">
        <f t="shared" si="8"/>
        <v>#DIV/0!</v>
      </c>
      <c r="EU7" s="20" t="e">
        <f t="shared" si="8"/>
        <v>#DIV/0!</v>
      </c>
      <c r="EV7" s="20" t="e">
        <f t="shared" si="8"/>
        <v>#DIV/0!</v>
      </c>
      <c r="EW7" s="20" t="e">
        <f t="shared" si="8"/>
        <v>#DIV/0!</v>
      </c>
      <c r="EX7" s="20" t="e">
        <f t="shared" si="8"/>
        <v>#DIV/0!</v>
      </c>
      <c r="EY7" s="20" t="e">
        <f t="shared" si="8"/>
        <v>#DIV/0!</v>
      </c>
    </row>
    <row r="8" spans="1:155" hidden="1" outlineLevel="1" x14ac:dyDescent="0.3">
      <c r="T8" s="11"/>
    </row>
    <row r="9" spans="1:155" collapsed="1" x14ac:dyDescent="0.3">
      <c r="A9" s="40" t="s">
        <v>44</v>
      </c>
      <c r="B9" s="40" t="s">
        <v>44</v>
      </c>
      <c r="C9" s="40" t="s">
        <v>45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30">
        <v>25</v>
      </c>
      <c r="Y9" s="30">
        <v>25</v>
      </c>
      <c r="Z9" s="30">
        <v>25</v>
      </c>
      <c r="AA9" s="30">
        <v>25</v>
      </c>
      <c r="AB9" s="30">
        <v>25</v>
      </c>
      <c r="AC9" s="30">
        <v>25</v>
      </c>
      <c r="AD9" s="30">
        <v>25</v>
      </c>
      <c r="AE9" s="30">
        <v>25</v>
      </c>
      <c r="AF9" s="30">
        <v>25</v>
      </c>
      <c r="AG9" s="30">
        <v>25</v>
      </c>
      <c r="AH9" s="30">
        <v>25</v>
      </c>
      <c r="AI9" s="30">
        <v>25</v>
      </c>
      <c r="AJ9" s="30">
        <v>25</v>
      </c>
      <c r="AK9" s="30">
        <v>25</v>
      </c>
      <c r="AL9" s="30">
        <v>25</v>
      </c>
      <c r="AM9" s="30">
        <v>25</v>
      </c>
      <c r="AN9" s="30">
        <v>25</v>
      </c>
      <c r="AO9" s="30">
        <v>25</v>
      </c>
      <c r="AP9" s="30">
        <v>25</v>
      </c>
      <c r="AQ9" s="30">
        <v>25</v>
      </c>
      <c r="AR9" s="30">
        <v>25</v>
      </c>
      <c r="AS9" s="30">
        <v>25</v>
      </c>
      <c r="AT9" s="30">
        <v>25</v>
      </c>
      <c r="AU9" s="30">
        <v>25</v>
      </c>
      <c r="AV9" s="30">
        <v>25</v>
      </c>
      <c r="AW9" s="30">
        <v>25</v>
      </c>
      <c r="AX9" s="30">
        <v>25</v>
      </c>
      <c r="AY9" s="30">
        <v>25</v>
      </c>
      <c r="AZ9" s="30">
        <v>25</v>
      </c>
      <c r="BA9" s="30">
        <v>25</v>
      </c>
      <c r="BB9" s="30">
        <v>25</v>
      </c>
      <c r="BC9" s="30">
        <v>25</v>
      </c>
      <c r="BD9" s="30">
        <v>25</v>
      </c>
      <c r="BE9" s="30">
        <v>25</v>
      </c>
      <c r="BF9" s="30">
        <v>25</v>
      </c>
      <c r="BG9" s="30">
        <v>25</v>
      </c>
      <c r="BH9" s="30">
        <v>25</v>
      </c>
      <c r="BI9" s="30">
        <v>25</v>
      </c>
      <c r="BJ9" s="30">
        <v>25</v>
      </c>
      <c r="BK9" s="30">
        <v>25</v>
      </c>
      <c r="BL9" s="30">
        <v>25</v>
      </c>
      <c r="BM9" s="30">
        <v>25</v>
      </c>
      <c r="BN9" s="30">
        <v>25</v>
      </c>
      <c r="BO9" s="30">
        <v>25</v>
      </c>
      <c r="BP9" s="30">
        <v>25</v>
      </c>
      <c r="BQ9" s="30">
        <v>25</v>
      </c>
      <c r="BR9" s="30">
        <v>25</v>
      </c>
      <c r="BS9" s="30">
        <v>25</v>
      </c>
      <c r="BT9" s="30">
        <v>25</v>
      </c>
      <c r="BU9" s="30">
        <v>25</v>
      </c>
      <c r="BV9" s="30">
        <v>25</v>
      </c>
      <c r="BW9" s="30">
        <v>25</v>
      </c>
      <c r="BX9" s="30">
        <v>25</v>
      </c>
      <c r="BY9" s="30">
        <v>25</v>
      </c>
      <c r="BZ9" s="30">
        <v>25</v>
      </c>
      <c r="CA9" s="30">
        <v>25</v>
      </c>
      <c r="CB9" s="30">
        <v>25</v>
      </c>
      <c r="CC9" s="30">
        <v>25</v>
      </c>
      <c r="CD9" s="30">
        <v>25</v>
      </c>
      <c r="CE9" s="30">
        <v>25</v>
      </c>
      <c r="CF9" s="30">
        <v>25</v>
      </c>
      <c r="CG9" s="30">
        <v>25</v>
      </c>
      <c r="CH9" s="30">
        <v>25</v>
      </c>
      <c r="CI9" s="30">
        <v>25</v>
      </c>
      <c r="CJ9" s="30">
        <v>25</v>
      </c>
      <c r="CK9" s="30">
        <v>25</v>
      </c>
      <c r="CL9" s="30">
        <v>25</v>
      </c>
      <c r="CM9" s="30">
        <v>25</v>
      </c>
      <c r="CN9" s="30">
        <v>25</v>
      </c>
      <c r="CO9" s="30">
        <v>25</v>
      </c>
      <c r="CP9" s="30">
        <v>25</v>
      </c>
      <c r="CQ9" s="30">
        <v>25</v>
      </c>
      <c r="CR9" s="30">
        <v>25</v>
      </c>
      <c r="CS9" s="30">
        <v>25</v>
      </c>
      <c r="CT9" s="30">
        <v>25</v>
      </c>
      <c r="CU9" s="30">
        <v>25</v>
      </c>
      <c r="CV9" s="30">
        <v>25</v>
      </c>
      <c r="CW9" s="30">
        <v>25</v>
      </c>
      <c r="CX9" s="30">
        <v>25</v>
      </c>
      <c r="CY9" s="30">
        <v>25</v>
      </c>
      <c r="CZ9" s="30">
        <v>25</v>
      </c>
      <c r="DA9" s="30">
        <v>25</v>
      </c>
      <c r="DB9" s="30">
        <v>25</v>
      </c>
      <c r="DC9" s="30">
        <v>25</v>
      </c>
      <c r="DD9" s="30">
        <v>25</v>
      </c>
      <c r="DE9" s="30">
        <v>25</v>
      </c>
      <c r="DF9" s="31">
        <v>54</v>
      </c>
      <c r="DG9" s="16">
        <v>54</v>
      </c>
      <c r="DH9" s="16">
        <v>54</v>
      </c>
      <c r="DI9" s="16">
        <v>54</v>
      </c>
      <c r="DJ9" s="16">
        <v>54</v>
      </c>
      <c r="DK9" s="16">
        <v>54</v>
      </c>
      <c r="DL9" s="16">
        <v>54</v>
      </c>
      <c r="DM9" s="16">
        <v>54</v>
      </c>
      <c r="DN9" s="16">
        <v>54</v>
      </c>
      <c r="DO9" s="16">
        <v>54</v>
      </c>
      <c r="DP9" s="16">
        <v>54</v>
      </c>
      <c r="DQ9" s="16">
        <v>54</v>
      </c>
      <c r="DR9" s="16">
        <v>54</v>
      </c>
      <c r="DS9" s="16">
        <v>54</v>
      </c>
      <c r="DT9" s="16">
        <v>54</v>
      </c>
      <c r="DU9" s="16">
        <v>54</v>
      </c>
      <c r="DV9" s="16">
        <v>54</v>
      </c>
      <c r="DW9" s="16">
        <v>54</v>
      </c>
      <c r="DX9" s="16">
        <v>54</v>
      </c>
      <c r="DY9" s="16">
        <v>54</v>
      </c>
      <c r="DZ9" s="16">
        <v>54</v>
      </c>
      <c r="EA9" s="16">
        <v>54</v>
      </c>
      <c r="EB9" s="16">
        <v>54</v>
      </c>
      <c r="EC9" s="16">
        <v>54</v>
      </c>
      <c r="ED9" s="16">
        <v>54</v>
      </c>
      <c r="EE9" s="16">
        <v>54</v>
      </c>
      <c r="EF9" s="16">
        <v>54</v>
      </c>
      <c r="EG9" s="16">
        <v>54</v>
      </c>
      <c r="EH9" s="16">
        <v>54</v>
      </c>
      <c r="EI9" s="16">
        <v>54</v>
      </c>
      <c r="EJ9" s="16">
        <v>54</v>
      </c>
      <c r="EK9" s="16">
        <v>54</v>
      </c>
      <c r="EL9" s="16">
        <v>54</v>
      </c>
      <c r="EM9" s="16">
        <v>54</v>
      </c>
      <c r="EN9" s="16">
        <v>54</v>
      </c>
      <c r="EO9" s="16">
        <v>54</v>
      </c>
      <c r="EP9" s="16">
        <v>54</v>
      </c>
      <c r="EQ9" s="16">
        <v>54</v>
      </c>
      <c r="ER9" s="16">
        <v>54</v>
      </c>
      <c r="ES9" s="16">
        <v>54</v>
      </c>
      <c r="ET9" s="16">
        <v>54</v>
      </c>
      <c r="EU9" s="16">
        <v>54</v>
      </c>
      <c r="EV9" s="16">
        <v>54</v>
      </c>
      <c r="EW9" s="16">
        <v>54</v>
      </c>
      <c r="EX9" s="16">
        <v>54</v>
      </c>
      <c r="EY9" s="16">
        <v>54</v>
      </c>
    </row>
    <row r="10" spans="1:155" x14ac:dyDescent="0.3">
      <c r="A10" s="40"/>
      <c r="B10" s="40"/>
      <c r="C10" s="40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31">
        <v>10</v>
      </c>
      <c r="Y10" s="31">
        <v>10</v>
      </c>
      <c r="Z10" s="31">
        <v>10</v>
      </c>
      <c r="AA10" s="31">
        <v>10</v>
      </c>
      <c r="AB10" s="31">
        <v>17</v>
      </c>
      <c r="AC10" s="31">
        <v>22</v>
      </c>
      <c r="AD10" s="31">
        <v>30</v>
      </c>
      <c r="AE10" s="31">
        <v>30</v>
      </c>
      <c r="AF10" s="31">
        <v>30</v>
      </c>
      <c r="AG10" s="31">
        <v>30</v>
      </c>
      <c r="AH10" s="31">
        <v>30</v>
      </c>
      <c r="AI10" s="31">
        <v>30</v>
      </c>
      <c r="AJ10" s="31">
        <v>30</v>
      </c>
      <c r="AK10" s="31">
        <v>30</v>
      </c>
      <c r="AL10" s="31">
        <v>30</v>
      </c>
      <c r="AM10" s="31">
        <v>30</v>
      </c>
      <c r="AN10" s="31">
        <v>30</v>
      </c>
      <c r="AO10" s="31">
        <v>30</v>
      </c>
      <c r="AP10" s="31">
        <v>30</v>
      </c>
      <c r="AQ10" s="31">
        <v>30</v>
      </c>
      <c r="AR10" s="31">
        <v>30</v>
      </c>
      <c r="AS10" s="31">
        <v>30</v>
      </c>
      <c r="AT10" s="31">
        <v>30</v>
      </c>
      <c r="AU10" s="31">
        <v>30</v>
      </c>
      <c r="AV10" s="31">
        <v>30</v>
      </c>
      <c r="AW10" s="31">
        <v>30</v>
      </c>
      <c r="AX10" s="31">
        <v>30</v>
      </c>
      <c r="AY10" s="31">
        <v>30</v>
      </c>
      <c r="AZ10" s="31">
        <v>30</v>
      </c>
      <c r="BA10" s="31">
        <v>30</v>
      </c>
      <c r="BB10" s="31">
        <v>30</v>
      </c>
      <c r="BC10" s="31">
        <v>30</v>
      </c>
      <c r="BD10" s="31">
        <v>30</v>
      </c>
      <c r="BE10" s="31">
        <v>30</v>
      </c>
      <c r="BF10" s="31">
        <v>30</v>
      </c>
      <c r="BG10" s="31">
        <v>30</v>
      </c>
      <c r="BH10" s="31">
        <v>30</v>
      </c>
      <c r="BI10" s="31">
        <v>30</v>
      </c>
      <c r="BJ10" s="31">
        <v>30</v>
      </c>
      <c r="BK10" s="31">
        <v>30</v>
      </c>
      <c r="BL10" s="31">
        <v>30</v>
      </c>
      <c r="BM10" s="31">
        <v>30</v>
      </c>
      <c r="BN10" s="31">
        <v>30</v>
      </c>
      <c r="BO10" s="31">
        <v>30</v>
      </c>
      <c r="BP10" s="31">
        <v>30</v>
      </c>
      <c r="BQ10" s="31">
        <v>30</v>
      </c>
      <c r="BR10" s="31">
        <v>30</v>
      </c>
      <c r="BS10" s="31">
        <v>30</v>
      </c>
      <c r="BT10" s="31">
        <v>30</v>
      </c>
      <c r="BU10" s="31">
        <v>30</v>
      </c>
      <c r="BV10" s="31">
        <v>30</v>
      </c>
      <c r="BW10" s="31">
        <v>30</v>
      </c>
      <c r="BX10" s="31">
        <v>30</v>
      </c>
      <c r="BY10" s="31">
        <v>30</v>
      </c>
      <c r="BZ10" s="31">
        <v>30</v>
      </c>
      <c r="CA10" s="31">
        <v>30</v>
      </c>
      <c r="CB10" s="31">
        <v>30</v>
      </c>
      <c r="CC10" s="31">
        <v>30</v>
      </c>
      <c r="CD10" s="31">
        <v>30</v>
      </c>
      <c r="CE10" s="31">
        <v>30</v>
      </c>
      <c r="CF10" s="31">
        <v>30</v>
      </c>
      <c r="CG10" s="31">
        <v>30</v>
      </c>
      <c r="CH10" s="31">
        <v>30</v>
      </c>
      <c r="CI10" s="31">
        <v>42</v>
      </c>
      <c r="CJ10" s="31">
        <v>30</v>
      </c>
      <c r="CK10" s="31">
        <v>42</v>
      </c>
      <c r="CL10" s="31">
        <v>42</v>
      </c>
      <c r="CM10" s="31">
        <v>42</v>
      </c>
      <c r="CN10" s="31">
        <v>42</v>
      </c>
      <c r="CO10" s="31">
        <v>42</v>
      </c>
      <c r="CP10" s="31">
        <v>42</v>
      </c>
      <c r="CQ10" s="31">
        <v>54</v>
      </c>
      <c r="CR10" s="31">
        <v>54</v>
      </c>
      <c r="CS10" s="31">
        <v>54</v>
      </c>
      <c r="CT10" s="31">
        <v>54</v>
      </c>
      <c r="CU10" s="31">
        <v>54</v>
      </c>
      <c r="CV10" s="31">
        <v>54</v>
      </c>
      <c r="CW10" s="31">
        <v>54</v>
      </c>
      <c r="CX10" s="31">
        <v>54</v>
      </c>
      <c r="CY10" s="31">
        <v>54</v>
      </c>
      <c r="CZ10" s="31">
        <v>54</v>
      </c>
      <c r="DA10" s="31">
        <v>54</v>
      </c>
      <c r="DB10" s="31">
        <v>54</v>
      </c>
      <c r="DC10" s="31">
        <v>54</v>
      </c>
      <c r="DD10" s="31">
        <v>54</v>
      </c>
      <c r="DE10" s="31">
        <v>54</v>
      </c>
      <c r="DF10" s="31">
        <v>54</v>
      </c>
      <c r="DG10" s="31">
        <v>54</v>
      </c>
      <c r="DH10" s="31">
        <v>54</v>
      </c>
      <c r="DI10" s="31">
        <v>54</v>
      </c>
      <c r="DJ10" s="31">
        <v>54</v>
      </c>
      <c r="DK10" s="31">
        <v>54</v>
      </c>
      <c r="DL10" s="31">
        <v>54</v>
      </c>
      <c r="DM10" s="31">
        <v>54</v>
      </c>
      <c r="DN10" s="31">
        <v>54</v>
      </c>
      <c r="DO10" s="31">
        <v>54</v>
      </c>
      <c r="DP10" s="31">
        <v>54</v>
      </c>
      <c r="DQ10" s="31">
        <v>54</v>
      </c>
      <c r="DR10" s="31">
        <v>54</v>
      </c>
      <c r="DS10" s="31">
        <v>54</v>
      </c>
      <c r="DT10" s="17">
        <v>54</v>
      </c>
      <c r="DU10" s="17">
        <v>54</v>
      </c>
      <c r="DV10" s="17">
        <v>54</v>
      </c>
      <c r="DW10" s="17">
        <v>54</v>
      </c>
      <c r="DX10" s="17">
        <v>54</v>
      </c>
      <c r="DY10" s="17">
        <v>54</v>
      </c>
      <c r="DZ10" s="17">
        <v>54</v>
      </c>
      <c r="EA10" s="17">
        <v>54</v>
      </c>
      <c r="EB10" s="17">
        <v>54</v>
      </c>
      <c r="EC10" s="17">
        <v>54</v>
      </c>
      <c r="ED10" s="17">
        <v>54</v>
      </c>
      <c r="EE10" s="17">
        <v>54</v>
      </c>
      <c r="EF10" s="17">
        <v>54</v>
      </c>
      <c r="EG10" s="17">
        <v>54</v>
      </c>
      <c r="EH10" s="17">
        <v>54</v>
      </c>
      <c r="EI10" s="17">
        <v>54</v>
      </c>
      <c r="EJ10" s="17">
        <v>54</v>
      </c>
      <c r="EK10" s="17">
        <v>54</v>
      </c>
      <c r="EL10" s="17">
        <v>54</v>
      </c>
      <c r="EM10" s="17">
        <v>54</v>
      </c>
      <c r="EN10" s="17">
        <v>54</v>
      </c>
      <c r="EO10" s="17">
        <v>54</v>
      </c>
      <c r="EP10" s="17">
        <v>54</v>
      </c>
      <c r="EQ10" s="17">
        <v>54</v>
      </c>
      <c r="ER10" s="17">
        <v>54</v>
      </c>
      <c r="ES10" s="17">
        <v>54</v>
      </c>
      <c r="ET10" s="17">
        <v>54</v>
      </c>
      <c r="EU10" s="17">
        <v>54</v>
      </c>
      <c r="EV10" s="17">
        <v>54</v>
      </c>
      <c r="EW10" s="17">
        <v>54</v>
      </c>
      <c r="EX10" s="17">
        <v>54</v>
      </c>
      <c r="EY10" s="17">
        <v>54</v>
      </c>
    </row>
    <row r="11" spans="1:155" x14ac:dyDescent="0.3">
      <c r="A11" s="40"/>
      <c r="B11" s="40"/>
      <c r="C11" s="40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32">
        <v>11.913626209977663</v>
      </c>
      <c r="Y11" s="32">
        <v>11.913626209977663</v>
      </c>
      <c r="Z11" s="32">
        <v>11.775095672652341</v>
      </c>
      <c r="AA11" s="32">
        <v>11.775095672652341</v>
      </c>
      <c r="AB11" s="32">
        <v>20.017662643508981</v>
      </c>
      <c r="AC11" s="32">
        <v>25.252525252525253</v>
      </c>
      <c r="AD11" s="32">
        <v>34.435261707988978</v>
      </c>
      <c r="AE11" s="32">
        <v>33.670033670033668</v>
      </c>
      <c r="AF11" s="32">
        <v>33.670033670033668</v>
      </c>
      <c r="AG11" s="32">
        <v>34.04834865509023</v>
      </c>
      <c r="AH11" s="32">
        <v>34.04834865509023</v>
      </c>
      <c r="AI11" s="32">
        <v>34.04834865509023</v>
      </c>
      <c r="AJ11" s="32">
        <v>34.04834865509023</v>
      </c>
      <c r="AK11" s="32">
        <v>34.04834865509023</v>
      </c>
      <c r="AL11" s="32">
        <v>34.04834865509023</v>
      </c>
      <c r="AM11" s="32">
        <v>34.04834865509023</v>
      </c>
      <c r="AN11" s="32">
        <v>34.04834865509023</v>
      </c>
      <c r="AO11" s="32">
        <v>34.04834865509023</v>
      </c>
      <c r="AP11" s="32">
        <v>34.04834865509023</v>
      </c>
      <c r="AQ11" s="32">
        <v>34.04834865509023</v>
      </c>
      <c r="AR11" s="32">
        <v>34.04834865509023</v>
      </c>
      <c r="AS11" s="32">
        <v>34.04834865509023</v>
      </c>
      <c r="AT11" s="32">
        <v>34.04834865509023</v>
      </c>
      <c r="AU11" s="32">
        <v>34.04834865509023</v>
      </c>
      <c r="AV11" s="32">
        <v>34.04834865509023</v>
      </c>
      <c r="AW11" s="32">
        <v>34.04834865509023</v>
      </c>
      <c r="AX11" s="32">
        <v>34.04834865509023</v>
      </c>
      <c r="AY11" s="32">
        <v>34.04834865509023</v>
      </c>
      <c r="AZ11" s="32">
        <v>34.04834865509023</v>
      </c>
      <c r="BA11" s="32">
        <v>34.04834865509023</v>
      </c>
      <c r="BB11" s="32">
        <v>34.04834865509023</v>
      </c>
      <c r="BC11" s="32">
        <v>34.04834865509023</v>
      </c>
      <c r="BD11" s="32">
        <v>34.04834865509023</v>
      </c>
      <c r="BE11" s="32">
        <v>34.04834865509023</v>
      </c>
      <c r="BF11" s="32">
        <v>34.04834865509023</v>
      </c>
      <c r="BG11" s="32">
        <v>34.04834865509023</v>
      </c>
      <c r="BH11" s="32">
        <v>34.04834865509023</v>
      </c>
      <c r="BI11" s="32">
        <v>34.04834865509023</v>
      </c>
      <c r="BJ11" s="32">
        <v>34.04834865509023</v>
      </c>
      <c r="BK11" s="32">
        <v>34.04834865509023</v>
      </c>
      <c r="BL11" s="32">
        <v>34.04834865509023</v>
      </c>
      <c r="BM11" s="32">
        <v>34.04834865509023</v>
      </c>
      <c r="BN11" s="32">
        <v>34.04834865509023</v>
      </c>
      <c r="BO11" s="32">
        <v>34.04834865509023</v>
      </c>
      <c r="BP11" s="32">
        <v>34.04834865509023</v>
      </c>
      <c r="BQ11" s="32">
        <v>34.04834865509023</v>
      </c>
      <c r="BR11" s="32">
        <v>34.04834865509023</v>
      </c>
      <c r="BS11" s="32">
        <v>34.04834865509023</v>
      </c>
      <c r="BT11" s="32">
        <v>34.04834865509023</v>
      </c>
      <c r="BU11" s="32">
        <v>38.040170419963481</v>
      </c>
      <c r="BV11" s="32">
        <v>43.513576235785571</v>
      </c>
      <c r="BW11" s="32">
        <v>34.931447035193436</v>
      </c>
      <c r="BX11" s="32">
        <v>34.931447035193436</v>
      </c>
      <c r="BY11" s="32">
        <v>32.938076416337282</v>
      </c>
      <c r="BZ11" s="32">
        <v>32.938076416337282</v>
      </c>
      <c r="CA11" s="32">
        <v>32.938076416337282</v>
      </c>
      <c r="CB11" s="32">
        <v>32.760032760032765</v>
      </c>
      <c r="CC11" s="32">
        <v>32.760032760032765</v>
      </c>
      <c r="CD11" s="32">
        <v>32.760032760032765</v>
      </c>
      <c r="CE11" s="32">
        <v>32.760032760032765</v>
      </c>
      <c r="CF11" s="32">
        <v>32.760032760032765</v>
      </c>
      <c r="CG11" s="32">
        <v>32.760032760032765</v>
      </c>
      <c r="CH11" s="32">
        <v>32.760032760032765</v>
      </c>
      <c r="CI11" s="32">
        <v>32.760032760032765</v>
      </c>
      <c r="CJ11" s="32">
        <v>32.760032760032765</v>
      </c>
      <c r="CK11" s="32">
        <v>32.760032760032765</v>
      </c>
      <c r="CL11" s="32">
        <v>45.79359418069096</v>
      </c>
      <c r="CM11" s="32">
        <v>42</v>
      </c>
      <c r="CN11" s="32">
        <v>42</v>
      </c>
      <c r="CO11" s="32">
        <v>42</v>
      </c>
      <c r="CP11" s="32">
        <v>42</v>
      </c>
      <c r="CQ11" s="32">
        <v>54</v>
      </c>
      <c r="CR11" s="32">
        <v>54</v>
      </c>
      <c r="CS11" s="32">
        <v>54</v>
      </c>
      <c r="CT11" s="32">
        <v>54</v>
      </c>
      <c r="CU11" s="32">
        <v>54</v>
      </c>
      <c r="CV11" s="32">
        <v>54</v>
      </c>
      <c r="CW11" s="32">
        <v>54</v>
      </c>
      <c r="CX11" s="32">
        <v>54</v>
      </c>
      <c r="CY11" s="32">
        <v>54</v>
      </c>
      <c r="CZ11" s="32">
        <v>54</v>
      </c>
      <c r="DA11" s="32">
        <v>54</v>
      </c>
      <c r="DB11" s="32">
        <v>54</v>
      </c>
      <c r="DC11" s="32">
        <v>54</v>
      </c>
      <c r="DD11" s="32">
        <v>54</v>
      </c>
      <c r="DE11" s="32">
        <v>54</v>
      </c>
      <c r="DF11" s="32">
        <v>54</v>
      </c>
      <c r="DG11" s="32">
        <v>54</v>
      </c>
      <c r="DH11" s="32">
        <v>54</v>
      </c>
      <c r="DI11" s="32">
        <v>54</v>
      </c>
      <c r="DJ11" s="32">
        <v>54</v>
      </c>
      <c r="DK11" s="32">
        <v>54</v>
      </c>
      <c r="DL11" s="32">
        <v>54</v>
      </c>
      <c r="DM11" s="32">
        <v>54</v>
      </c>
      <c r="DN11" s="32">
        <v>54</v>
      </c>
      <c r="DO11" s="32">
        <v>54</v>
      </c>
      <c r="DP11" s="32">
        <v>54</v>
      </c>
      <c r="DQ11" s="32">
        <v>54</v>
      </c>
      <c r="DR11" s="32">
        <v>54</v>
      </c>
      <c r="DS11" s="32">
        <v>54</v>
      </c>
      <c r="DT11" s="32">
        <v>54</v>
      </c>
      <c r="DU11" s="32">
        <v>54</v>
      </c>
      <c r="DV11" s="32">
        <v>54</v>
      </c>
      <c r="DW11" s="32">
        <v>54</v>
      </c>
      <c r="DX11" s="32">
        <v>54</v>
      </c>
      <c r="DY11" s="32">
        <v>54</v>
      </c>
      <c r="DZ11" s="32">
        <v>54</v>
      </c>
      <c r="EA11" s="32">
        <v>58</v>
      </c>
      <c r="EB11" s="32">
        <v>58</v>
      </c>
      <c r="EC11" s="32">
        <v>53</v>
      </c>
      <c r="ED11" s="32">
        <v>53</v>
      </c>
      <c r="EE11" s="32">
        <v>53</v>
      </c>
      <c r="EF11" s="32">
        <v>53</v>
      </c>
      <c r="EG11" s="32">
        <v>53</v>
      </c>
      <c r="EH11" s="32">
        <v>53</v>
      </c>
      <c r="EI11" s="32">
        <v>53</v>
      </c>
      <c r="EJ11" s="32">
        <v>53</v>
      </c>
      <c r="EK11" s="32">
        <v>53</v>
      </c>
      <c r="EL11" s="32">
        <v>53</v>
      </c>
      <c r="EM11" s="32">
        <v>53</v>
      </c>
      <c r="EN11" s="32">
        <v>53</v>
      </c>
      <c r="EO11" s="32">
        <v>53</v>
      </c>
      <c r="EP11" s="32">
        <v>53</v>
      </c>
      <c r="EQ11" s="32">
        <v>53</v>
      </c>
      <c r="ER11" s="32">
        <v>53</v>
      </c>
      <c r="ES11" s="32">
        <v>53</v>
      </c>
      <c r="ET11" s="32">
        <v>53</v>
      </c>
      <c r="EU11" s="32">
        <v>54</v>
      </c>
      <c r="EV11" s="32">
        <v>54</v>
      </c>
      <c r="EW11" s="32">
        <v>54</v>
      </c>
      <c r="EX11" s="32">
        <v>54</v>
      </c>
      <c r="EY11" s="32">
        <v>54</v>
      </c>
    </row>
    <row r="12" spans="1:155" x14ac:dyDescent="0.3">
      <c r="A12" s="40"/>
      <c r="B12" s="40"/>
      <c r="C12" s="40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33">
        <v>14</v>
      </c>
      <c r="Y12" s="33">
        <v>12</v>
      </c>
      <c r="Z12" s="33">
        <v>10</v>
      </c>
      <c r="AA12" s="33">
        <v>10</v>
      </c>
      <c r="AB12" s="33">
        <v>10</v>
      </c>
      <c r="AC12" s="33">
        <v>27</v>
      </c>
      <c r="AD12" s="33">
        <v>25</v>
      </c>
      <c r="AE12" s="33">
        <v>36</v>
      </c>
      <c r="AF12" s="33">
        <v>32</v>
      </c>
      <c r="AG12" s="33">
        <v>31</v>
      </c>
      <c r="AH12" s="33">
        <v>30</v>
      </c>
      <c r="AI12" s="33">
        <v>29</v>
      </c>
      <c r="AJ12" s="33">
        <v>27</v>
      </c>
      <c r="AK12" s="33">
        <v>27</v>
      </c>
      <c r="AL12" s="33">
        <v>27</v>
      </c>
      <c r="AM12" s="33">
        <v>26</v>
      </c>
      <c r="AN12" s="33">
        <v>34</v>
      </c>
      <c r="AO12" s="33">
        <v>36.363636363636367</v>
      </c>
      <c r="AP12" s="33">
        <v>35.227272727272727</v>
      </c>
      <c r="AQ12" s="33">
        <v>35.227272727272727</v>
      </c>
      <c r="AR12" s="33">
        <v>32.954545454545453</v>
      </c>
      <c r="AS12" s="33">
        <v>32.954545454545453</v>
      </c>
      <c r="AT12" s="33">
        <v>31.818181818181817</v>
      </c>
      <c r="AU12" s="33">
        <v>42.045454545454547</v>
      </c>
      <c r="AV12" s="33">
        <v>42.045454545454547</v>
      </c>
      <c r="AW12" s="33">
        <v>39.772727272727273</v>
      </c>
      <c r="AX12" s="33">
        <v>36.363636363636367</v>
      </c>
      <c r="AY12" s="33">
        <v>42.045454545454547</v>
      </c>
      <c r="AZ12" s="33">
        <v>39.772727272727273</v>
      </c>
      <c r="BA12" s="33">
        <v>38.636363636363633</v>
      </c>
      <c r="BB12" s="33">
        <v>37.5</v>
      </c>
      <c r="BC12" s="33">
        <v>36.363636363636367</v>
      </c>
      <c r="BD12" s="33">
        <v>34.090909090909093</v>
      </c>
      <c r="BE12" s="33">
        <v>40.909090909090907</v>
      </c>
      <c r="BF12" s="33">
        <v>40.909090909090907</v>
      </c>
      <c r="BG12" s="33">
        <v>40.909090909090907</v>
      </c>
      <c r="BH12" s="33">
        <v>39.772727272727273</v>
      </c>
      <c r="BI12" s="33">
        <v>46.590909090909093</v>
      </c>
      <c r="BJ12" s="33">
        <v>45.454545454545453</v>
      </c>
      <c r="BK12" s="33">
        <v>42.045454545454547</v>
      </c>
      <c r="BL12" s="33">
        <v>40.909090909090907</v>
      </c>
      <c r="BM12" s="33">
        <v>40.909090909090907</v>
      </c>
      <c r="BN12" s="33">
        <v>38.636363636363633</v>
      </c>
      <c r="BO12" s="33">
        <v>38.636363636363633</v>
      </c>
      <c r="BP12" s="33">
        <v>43.18181818181818</v>
      </c>
      <c r="BQ12" s="33">
        <v>43.18181818181818</v>
      </c>
      <c r="BR12" s="33">
        <v>43.18181818181818</v>
      </c>
      <c r="BS12" s="33">
        <v>42.045454545454547</v>
      </c>
      <c r="BT12" s="33">
        <v>40.909090909090907</v>
      </c>
      <c r="BU12" s="33">
        <v>39.772727272727273</v>
      </c>
      <c r="BV12" s="33">
        <v>45.454545454545453</v>
      </c>
      <c r="BW12" s="33">
        <v>39</v>
      </c>
      <c r="BX12" s="33">
        <v>39</v>
      </c>
      <c r="BY12" s="33">
        <v>38</v>
      </c>
      <c r="BZ12" s="33">
        <v>37</v>
      </c>
      <c r="CA12" s="33">
        <v>37</v>
      </c>
      <c r="CB12" s="33">
        <v>36.629999999999995</v>
      </c>
      <c r="CC12" s="33">
        <v>36.629999999999995</v>
      </c>
      <c r="CD12" s="33">
        <v>36</v>
      </c>
      <c r="CE12" s="33">
        <v>35</v>
      </c>
      <c r="CF12" s="33">
        <v>35</v>
      </c>
      <c r="CG12" s="33">
        <v>35</v>
      </c>
      <c r="CH12" s="33">
        <v>34</v>
      </c>
      <c r="CI12" s="33">
        <v>33</v>
      </c>
      <c r="CJ12" s="33">
        <v>33</v>
      </c>
      <c r="CK12" s="33">
        <v>36</v>
      </c>
      <c r="CL12" s="33">
        <v>46</v>
      </c>
      <c r="CM12" s="33">
        <v>48</v>
      </c>
      <c r="CN12" s="33">
        <v>49</v>
      </c>
      <c r="CO12" s="33">
        <v>49</v>
      </c>
      <c r="CP12" s="33">
        <v>57</v>
      </c>
      <c r="CQ12" s="33">
        <v>65</v>
      </c>
      <c r="CR12" s="33">
        <v>66</v>
      </c>
      <c r="CS12" s="33">
        <v>66</v>
      </c>
      <c r="CT12" s="33">
        <v>66</v>
      </c>
      <c r="CU12" s="33">
        <v>66</v>
      </c>
      <c r="CV12" s="33">
        <v>63</v>
      </c>
      <c r="CW12" s="33">
        <v>63</v>
      </c>
      <c r="CX12" s="33">
        <v>63</v>
      </c>
      <c r="CY12" s="33">
        <v>63</v>
      </c>
      <c r="CZ12" s="33">
        <v>64</v>
      </c>
      <c r="DA12" s="33">
        <v>61</v>
      </c>
      <c r="DB12" s="33">
        <v>61</v>
      </c>
      <c r="DC12" s="33">
        <v>61</v>
      </c>
      <c r="DD12" s="33">
        <v>59</v>
      </c>
      <c r="DE12" s="33">
        <v>60</v>
      </c>
      <c r="DF12" s="33">
        <v>58.94736842105263</v>
      </c>
      <c r="DG12" s="33">
        <v>57.89473684210526</v>
      </c>
      <c r="DH12" s="33">
        <v>55.789473684210535</v>
      </c>
      <c r="DI12" s="33">
        <v>53.684210526315795</v>
      </c>
      <c r="DJ12" s="33">
        <v>54.736842105263165</v>
      </c>
      <c r="DK12" s="33">
        <v>54.736842105263165</v>
      </c>
      <c r="DL12" s="33">
        <v>53.684210526315795</v>
      </c>
      <c r="DM12" s="33">
        <v>62.10526315789474</v>
      </c>
      <c r="DN12" s="33">
        <v>61.05263157894737</v>
      </c>
      <c r="DO12" s="33">
        <v>61.05263157894737</v>
      </c>
      <c r="DP12" s="33">
        <v>60</v>
      </c>
      <c r="DQ12" s="33">
        <v>56.842105263157897</v>
      </c>
      <c r="DR12" s="33">
        <v>56.842105263157897</v>
      </c>
      <c r="DS12" s="33">
        <v>57.894736842105267</v>
      </c>
      <c r="DT12" s="22">
        <v>57.894736842105267</v>
      </c>
      <c r="DU12" s="22">
        <v>57.894736842105267</v>
      </c>
      <c r="DV12" s="22">
        <v>54.736842105263165</v>
      </c>
      <c r="DW12" s="22">
        <v>55.789473684210535</v>
      </c>
      <c r="DX12" s="22">
        <v>55.789473684210535</v>
      </c>
      <c r="DY12" s="22">
        <v>55.789473684210535</v>
      </c>
      <c r="DZ12" s="22">
        <v>55.789473684210535</v>
      </c>
      <c r="EA12" s="22">
        <v>60</v>
      </c>
      <c r="EB12" s="22">
        <v>59</v>
      </c>
      <c r="EC12" s="22">
        <v>57</v>
      </c>
      <c r="ED12" s="22">
        <v>57</v>
      </c>
      <c r="EE12" s="22">
        <v>56</v>
      </c>
      <c r="EF12" s="22">
        <v>54.599999999999994</v>
      </c>
      <c r="EG12" s="22">
        <v>53.76</v>
      </c>
      <c r="EH12" s="22">
        <v>52.43</v>
      </c>
      <c r="EI12" s="22">
        <v>51.615200000000002</v>
      </c>
      <c r="EJ12" s="22">
        <v>50.351700000000001</v>
      </c>
      <c r="EK12" s="22">
        <v>49.561343999999998</v>
      </c>
      <c r="EL12" s="22">
        <v>48.361018999999999</v>
      </c>
      <c r="EM12" s="22">
        <v>47.594373680000004</v>
      </c>
      <c r="EN12" s="22">
        <v>46.454064930000001</v>
      </c>
      <c r="EO12" s="22">
        <v>45.710418969599999</v>
      </c>
      <c r="EP12" s="22">
        <v>44.627125657100009</v>
      </c>
      <c r="EQ12" s="22">
        <v>46.900231637762005</v>
      </c>
      <c r="ER12" s="22">
        <v>45.571658734662009</v>
      </c>
      <c r="ES12" s="22">
        <v>44.791112301340895</v>
      </c>
      <c r="ET12" s="22">
        <v>43.813440086809635</v>
      </c>
      <c r="EU12" s="22">
        <f t="shared" ref="ET12:EY12" si="9">EU11</f>
        <v>54</v>
      </c>
      <c r="EV12" s="22">
        <f t="shared" si="9"/>
        <v>54</v>
      </c>
      <c r="EW12" s="22">
        <f t="shared" si="9"/>
        <v>54</v>
      </c>
      <c r="EX12" s="22">
        <f t="shared" si="9"/>
        <v>54</v>
      </c>
      <c r="EY12" s="22">
        <f t="shared" si="9"/>
        <v>54</v>
      </c>
    </row>
    <row r="13" spans="1:155" x14ac:dyDescent="0.3">
      <c r="A13" s="40"/>
      <c r="B13" s="40"/>
      <c r="C13" s="40"/>
      <c r="D13" s="15" t="s">
        <v>16</v>
      </c>
      <c r="E13" s="19" t="e">
        <f t="shared" ref="E13:BP14" si="10">E11/E9</f>
        <v>#DIV/0!</v>
      </c>
      <c r="F13" s="19" t="e">
        <f t="shared" si="10"/>
        <v>#DIV/0!</v>
      </c>
      <c r="G13" s="19" t="e">
        <f t="shared" si="10"/>
        <v>#DIV/0!</v>
      </c>
      <c r="H13" s="19" t="e">
        <f t="shared" si="10"/>
        <v>#DIV/0!</v>
      </c>
      <c r="I13" s="19" t="e">
        <f t="shared" si="10"/>
        <v>#DIV/0!</v>
      </c>
      <c r="J13" s="19" t="e">
        <f t="shared" si="10"/>
        <v>#DIV/0!</v>
      </c>
      <c r="K13" s="19" t="e">
        <f t="shared" si="10"/>
        <v>#DIV/0!</v>
      </c>
      <c r="L13" s="19" t="e">
        <f t="shared" si="10"/>
        <v>#DIV/0!</v>
      </c>
      <c r="M13" s="19" t="e">
        <f t="shared" si="10"/>
        <v>#DIV/0!</v>
      </c>
      <c r="N13" s="19" t="e">
        <f t="shared" si="10"/>
        <v>#DIV/0!</v>
      </c>
      <c r="O13" s="19" t="e">
        <f t="shared" si="10"/>
        <v>#DIV/0!</v>
      </c>
      <c r="P13" s="19" t="e">
        <f t="shared" si="10"/>
        <v>#DIV/0!</v>
      </c>
      <c r="Q13" s="19" t="e">
        <f t="shared" si="10"/>
        <v>#DIV/0!</v>
      </c>
      <c r="R13" s="19" t="e">
        <f t="shared" si="10"/>
        <v>#DIV/0!</v>
      </c>
      <c r="S13" s="19" t="e">
        <f t="shared" si="10"/>
        <v>#DIV/0!</v>
      </c>
      <c r="T13" s="19" t="e">
        <f t="shared" si="10"/>
        <v>#DIV/0!</v>
      </c>
      <c r="U13" s="19" t="e">
        <f t="shared" si="10"/>
        <v>#DIV/0!</v>
      </c>
      <c r="V13" s="19" t="e">
        <f t="shared" si="10"/>
        <v>#DIV/0!</v>
      </c>
      <c r="W13" s="19" t="e">
        <f t="shared" si="10"/>
        <v>#DIV/0!</v>
      </c>
      <c r="X13" s="19">
        <f t="shared" si="10"/>
        <v>0.4765450483991065</v>
      </c>
      <c r="Y13" s="19">
        <f t="shared" si="10"/>
        <v>0.4765450483991065</v>
      </c>
      <c r="Z13" s="19">
        <f t="shared" si="10"/>
        <v>0.47100382690609366</v>
      </c>
      <c r="AA13" s="19">
        <f t="shared" si="10"/>
        <v>0.47100382690609366</v>
      </c>
      <c r="AB13" s="19">
        <f t="shared" si="10"/>
        <v>0.80070650574035929</v>
      </c>
      <c r="AC13" s="19">
        <f t="shared" si="10"/>
        <v>1.0101010101010102</v>
      </c>
      <c r="AD13" s="19">
        <f t="shared" si="10"/>
        <v>1.3774104683195592</v>
      </c>
      <c r="AE13" s="19">
        <f t="shared" si="10"/>
        <v>1.3468013468013467</v>
      </c>
      <c r="AF13" s="19">
        <f t="shared" si="10"/>
        <v>1.3468013468013467</v>
      </c>
      <c r="AG13" s="19">
        <f t="shared" si="10"/>
        <v>1.3619339462036093</v>
      </c>
      <c r="AH13" s="19">
        <f t="shared" si="10"/>
        <v>1.3619339462036093</v>
      </c>
      <c r="AI13" s="19">
        <f t="shared" si="10"/>
        <v>1.3619339462036093</v>
      </c>
      <c r="AJ13" s="19">
        <f t="shared" si="10"/>
        <v>1.3619339462036093</v>
      </c>
      <c r="AK13" s="19">
        <f t="shared" si="10"/>
        <v>1.3619339462036093</v>
      </c>
      <c r="AL13" s="19">
        <f t="shared" si="10"/>
        <v>1.3619339462036093</v>
      </c>
      <c r="AM13" s="19">
        <f t="shared" si="10"/>
        <v>1.3619339462036093</v>
      </c>
      <c r="AN13" s="19">
        <f t="shared" si="10"/>
        <v>1.3619339462036093</v>
      </c>
      <c r="AO13" s="19">
        <f t="shared" si="10"/>
        <v>1.3619339462036093</v>
      </c>
      <c r="AP13" s="19">
        <f t="shared" si="10"/>
        <v>1.3619339462036093</v>
      </c>
      <c r="AQ13" s="19">
        <f t="shared" si="10"/>
        <v>1.3619339462036093</v>
      </c>
      <c r="AR13" s="19">
        <f t="shared" si="10"/>
        <v>1.3619339462036093</v>
      </c>
      <c r="AS13" s="19">
        <f t="shared" si="10"/>
        <v>1.3619339462036093</v>
      </c>
      <c r="AT13" s="19">
        <f t="shared" si="10"/>
        <v>1.3619339462036093</v>
      </c>
      <c r="AU13" s="19">
        <f t="shared" si="10"/>
        <v>1.3619339462036093</v>
      </c>
      <c r="AV13" s="19">
        <f t="shared" si="10"/>
        <v>1.3619339462036093</v>
      </c>
      <c r="AW13" s="19">
        <f t="shared" si="10"/>
        <v>1.3619339462036093</v>
      </c>
      <c r="AX13" s="19">
        <f t="shared" si="10"/>
        <v>1.3619339462036093</v>
      </c>
      <c r="AY13" s="19">
        <f t="shared" si="10"/>
        <v>1.3619339462036093</v>
      </c>
      <c r="AZ13" s="19">
        <f t="shared" si="10"/>
        <v>1.3619339462036093</v>
      </c>
      <c r="BA13" s="19">
        <f t="shared" si="10"/>
        <v>1.3619339462036093</v>
      </c>
      <c r="BB13" s="19">
        <f t="shared" si="10"/>
        <v>1.3619339462036093</v>
      </c>
      <c r="BC13" s="19">
        <f t="shared" si="10"/>
        <v>1.3619339462036093</v>
      </c>
      <c r="BD13" s="19">
        <f t="shared" si="10"/>
        <v>1.3619339462036093</v>
      </c>
      <c r="BE13" s="19">
        <f t="shared" si="10"/>
        <v>1.3619339462036093</v>
      </c>
      <c r="BF13" s="19">
        <f t="shared" si="10"/>
        <v>1.3619339462036093</v>
      </c>
      <c r="BG13" s="19">
        <f t="shared" si="10"/>
        <v>1.3619339462036093</v>
      </c>
      <c r="BH13" s="19">
        <f t="shared" si="10"/>
        <v>1.3619339462036093</v>
      </c>
      <c r="BI13" s="19">
        <f t="shared" si="10"/>
        <v>1.3619339462036093</v>
      </c>
      <c r="BJ13" s="19">
        <f t="shared" si="10"/>
        <v>1.3619339462036093</v>
      </c>
      <c r="BK13" s="19">
        <f t="shared" si="10"/>
        <v>1.3619339462036093</v>
      </c>
      <c r="BL13" s="19">
        <f t="shared" si="10"/>
        <v>1.3619339462036093</v>
      </c>
      <c r="BM13" s="19">
        <f t="shared" si="10"/>
        <v>1.3619339462036093</v>
      </c>
      <c r="BN13" s="19">
        <f t="shared" si="10"/>
        <v>1.3619339462036093</v>
      </c>
      <c r="BO13" s="19">
        <f t="shared" si="10"/>
        <v>1.3619339462036093</v>
      </c>
      <c r="BP13" s="19">
        <f t="shared" si="10"/>
        <v>1.3619339462036093</v>
      </c>
      <c r="BQ13" s="19">
        <f t="shared" ref="BQ13:EB13" si="11">BQ11/BQ9</f>
        <v>1.3619339462036093</v>
      </c>
      <c r="BR13" s="19">
        <f t="shared" si="11"/>
        <v>1.3619339462036093</v>
      </c>
      <c r="BS13" s="19">
        <f t="shared" si="11"/>
        <v>1.3619339462036093</v>
      </c>
      <c r="BT13" s="19">
        <f t="shared" si="11"/>
        <v>1.3619339462036093</v>
      </c>
      <c r="BU13" s="19">
        <f t="shared" si="11"/>
        <v>1.5216068167985393</v>
      </c>
      <c r="BV13" s="19">
        <f t="shared" si="11"/>
        <v>1.7405430494314229</v>
      </c>
      <c r="BW13" s="19">
        <f t="shared" si="11"/>
        <v>1.3972578814077374</v>
      </c>
      <c r="BX13" s="19">
        <f t="shared" si="11"/>
        <v>1.3972578814077374</v>
      </c>
      <c r="BY13" s="19">
        <f t="shared" si="11"/>
        <v>1.3175230566534912</v>
      </c>
      <c r="BZ13" s="19">
        <f t="shared" si="11"/>
        <v>1.3175230566534912</v>
      </c>
      <c r="CA13" s="19">
        <f t="shared" si="11"/>
        <v>1.3175230566534912</v>
      </c>
      <c r="CB13" s="19">
        <f t="shared" si="11"/>
        <v>1.3104013104013106</v>
      </c>
      <c r="CC13" s="19">
        <f t="shared" si="11"/>
        <v>1.3104013104013106</v>
      </c>
      <c r="CD13" s="19">
        <f t="shared" si="11"/>
        <v>1.3104013104013106</v>
      </c>
      <c r="CE13" s="19">
        <f t="shared" si="11"/>
        <v>1.3104013104013106</v>
      </c>
      <c r="CF13" s="19">
        <f t="shared" si="11"/>
        <v>1.3104013104013106</v>
      </c>
      <c r="CG13" s="19">
        <f t="shared" si="11"/>
        <v>1.3104013104013106</v>
      </c>
      <c r="CH13" s="19">
        <f t="shared" si="11"/>
        <v>1.3104013104013106</v>
      </c>
      <c r="CI13" s="19">
        <f t="shared" si="11"/>
        <v>1.3104013104013106</v>
      </c>
      <c r="CJ13" s="19">
        <f t="shared" si="11"/>
        <v>1.3104013104013106</v>
      </c>
      <c r="CK13" s="19">
        <f t="shared" si="11"/>
        <v>1.3104013104013106</v>
      </c>
      <c r="CL13" s="19">
        <f t="shared" si="11"/>
        <v>1.8317437672276384</v>
      </c>
      <c r="CM13" s="19">
        <f t="shared" si="11"/>
        <v>1.68</v>
      </c>
      <c r="CN13" s="19">
        <f t="shared" si="11"/>
        <v>1.68</v>
      </c>
      <c r="CO13" s="19">
        <f t="shared" si="11"/>
        <v>1.68</v>
      </c>
      <c r="CP13" s="19">
        <f t="shared" si="11"/>
        <v>1.68</v>
      </c>
      <c r="CQ13" s="19">
        <f t="shared" si="11"/>
        <v>2.16</v>
      </c>
      <c r="CR13" s="19">
        <f t="shared" si="11"/>
        <v>2.16</v>
      </c>
      <c r="CS13" s="19">
        <f t="shared" si="11"/>
        <v>2.16</v>
      </c>
      <c r="CT13" s="19">
        <f t="shared" si="11"/>
        <v>2.16</v>
      </c>
      <c r="CU13" s="19">
        <f t="shared" si="11"/>
        <v>2.16</v>
      </c>
      <c r="CV13" s="19">
        <f t="shared" si="11"/>
        <v>2.16</v>
      </c>
      <c r="CW13" s="19">
        <f t="shared" si="11"/>
        <v>2.16</v>
      </c>
      <c r="CX13" s="19">
        <f t="shared" si="11"/>
        <v>2.16</v>
      </c>
      <c r="CY13" s="19">
        <f t="shared" si="11"/>
        <v>2.16</v>
      </c>
      <c r="CZ13" s="19">
        <f t="shared" si="11"/>
        <v>2.16</v>
      </c>
      <c r="DA13" s="19">
        <f t="shared" si="11"/>
        <v>2.16</v>
      </c>
      <c r="DB13" s="19">
        <f t="shared" si="11"/>
        <v>2.16</v>
      </c>
      <c r="DC13" s="19">
        <f t="shared" si="11"/>
        <v>2.16</v>
      </c>
      <c r="DD13" s="19">
        <f t="shared" si="11"/>
        <v>2.16</v>
      </c>
      <c r="DE13" s="19">
        <f t="shared" si="11"/>
        <v>2.16</v>
      </c>
      <c r="DF13" s="19">
        <f t="shared" si="11"/>
        <v>1</v>
      </c>
      <c r="DG13" s="19">
        <f t="shared" si="11"/>
        <v>1</v>
      </c>
      <c r="DH13" s="19">
        <f t="shared" si="11"/>
        <v>1</v>
      </c>
      <c r="DI13" s="19">
        <f t="shared" si="11"/>
        <v>1</v>
      </c>
      <c r="DJ13" s="19">
        <f t="shared" si="11"/>
        <v>1</v>
      </c>
      <c r="DK13" s="19">
        <f t="shared" si="11"/>
        <v>1</v>
      </c>
      <c r="DL13" s="19">
        <f t="shared" si="11"/>
        <v>1</v>
      </c>
      <c r="DM13" s="19">
        <f t="shared" si="11"/>
        <v>1</v>
      </c>
      <c r="DN13" s="19">
        <f t="shared" si="11"/>
        <v>1</v>
      </c>
      <c r="DO13" s="19">
        <f t="shared" si="11"/>
        <v>1</v>
      </c>
      <c r="DP13" s="19">
        <f t="shared" si="11"/>
        <v>1</v>
      </c>
      <c r="DQ13" s="19">
        <f t="shared" si="11"/>
        <v>1</v>
      </c>
      <c r="DR13" s="19">
        <f t="shared" si="11"/>
        <v>1</v>
      </c>
      <c r="DS13" s="19">
        <f t="shared" si="11"/>
        <v>1</v>
      </c>
      <c r="DT13" s="19">
        <f t="shared" si="11"/>
        <v>1</v>
      </c>
      <c r="DU13" s="19">
        <f t="shared" si="11"/>
        <v>1</v>
      </c>
      <c r="DV13" s="19">
        <f t="shared" si="11"/>
        <v>1</v>
      </c>
      <c r="DW13" s="19">
        <f t="shared" si="11"/>
        <v>1</v>
      </c>
      <c r="DX13" s="19">
        <f t="shared" si="11"/>
        <v>1</v>
      </c>
      <c r="DY13" s="19">
        <f t="shared" si="11"/>
        <v>1</v>
      </c>
      <c r="DZ13" s="19">
        <f t="shared" si="11"/>
        <v>1</v>
      </c>
      <c r="EA13" s="19">
        <f t="shared" si="11"/>
        <v>1.0740740740740742</v>
      </c>
      <c r="EB13" s="19">
        <f t="shared" si="11"/>
        <v>1.0740740740740742</v>
      </c>
      <c r="EC13" s="19">
        <f t="shared" ref="EC13:EY13" si="12">EC11/EC9</f>
        <v>0.98148148148148151</v>
      </c>
      <c r="ED13" s="19">
        <f t="shared" si="12"/>
        <v>0.98148148148148151</v>
      </c>
      <c r="EE13" s="19">
        <f t="shared" si="12"/>
        <v>0.98148148148148151</v>
      </c>
      <c r="EF13" s="19">
        <f t="shared" si="12"/>
        <v>0.98148148148148151</v>
      </c>
      <c r="EG13" s="19">
        <f t="shared" si="12"/>
        <v>0.98148148148148151</v>
      </c>
      <c r="EH13" s="19">
        <f t="shared" si="12"/>
        <v>0.98148148148148151</v>
      </c>
      <c r="EI13" s="19">
        <f t="shared" si="12"/>
        <v>0.98148148148148151</v>
      </c>
      <c r="EJ13" s="19">
        <f t="shared" si="12"/>
        <v>0.98148148148148151</v>
      </c>
      <c r="EK13" s="19">
        <f t="shared" si="12"/>
        <v>0.98148148148148151</v>
      </c>
      <c r="EL13" s="19">
        <f t="shared" si="12"/>
        <v>0.98148148148148151</v>
      </c>
      <c r="EM13" s="19">
        <f t="shared" si="12"/>
        <v>0.98148148148148151</v>
      </c>
      <c r="EN13" s="19">
        <f t="shared" si="12"/>
        <v>0.98148148148148151</v>
      </c>
      <c r="EO13" s="19">
        <f t="shared" si="12"/>
        <v>0.98148148148148151</v>
      </c>
      <c r="EP13" s="19">
        <f t="shared" si="12"/>
        <v>0.98148148148148151</v>
      </c>
      <c r="EQ13" s="19">
        <f t="shared" si="12"/>
        <v>0.98148148148148151</v>
      </c>
      <c r="ER13" s="19">
        <f t="shared" si="12"/>
        <v>0.98148148148148151</v>
      </c>
      <c r="ES13" s="19">
        <f t="shared" si="12"/>
        <v>0.98148148148148151</v>
      </c>
      <c r="ET13" s="19">
        <f t="shared" si="12"/>
        <v>0.98148148148148151</v>
      </c>
      <c r="EU13" s="19">
        <f t="shared" si="12"/>
        <v>1</v>
      </c>
      <c r="EV13" s="19">
        <f t="shared" si="12"/>
        <v>1</v>
      </c>
      <c r="EW13" s="19">
        <f t="shared" si="12"/>
        <v>1</v>
      </c>
      <c r="EX13" s="19">
        <f t="shared" si="12"/>
        <v>1</v>
      </c>
      <c r="EY13" s="19">
        <f t="shared" si="12"/>
        <v>1</v>
      </c>
    </row>
    <row r="14" spans="1:155" x14ac:dyDescent="0.3">
      <c r="A14" s="40"/>
      <c r="B14" s="40"/>
      <c r="C14" s="40"/>
      <c r="D14" s="15" t="s">
        <v>17</v>
      </c>
      <c r="E14" s="20" t="e">
        <f>E11/E10</f>
        <v>#DIV/0!</v>
      </c>
      <c r="F14" s="20" t="e">
        <f t="shared" ref="F14:AA14" si="13">F11/F10</f>
        <v>#DIV/0!</v>
      </c>
      <c r="G14" s="20" t="e">
        <f t="shared" si="13"/>
        <v>#DIV/0!</v>
      </c>
      <c r="H14" s="20" t="e">
        <f t="shared" si="13"/>
        <v>#DIV/0!</v>
      </c>
      <c r="I14" s="20" t="e">
        <f t="shared" si="13"/>
        <v>#DIV/0!</v>
      </c>
      <c r="J14" s="20" t="e">
        <f t="shared" si="13"/>
        <v>#DIV/0!</v>
      </c>
      <c r="K14" s="20" t="e">
        <f t="shared" si="13"/>
        <v>#DIV/0!</v>
      </c>
      <c r="L14" s="20" t="e">
        <f t="shared" si="13"/>
        <v>#DIV/0!</v>
      </c>
      <c r="M14" s="20" t="e">
        <f t="shared" si="13"/>
        <v>#DIV/0!</v>
      </c>
      <c r="N14" s="20" t="e">
        <f t="shared" si="13"/>
        <v>#DIV/0!</v>
      </c>
      <c r="O14" s="20" t="e">
        <f t="shared" si="13"/>
        <v>#DIV/0!</v>
      </c>
      <c r="P14" s="20" t="e">
        <f t="shared" si="13"/>
        <v>#DIV/0!</v>
      </c>
      <c r="Q14" s="20" t="e">
        <f t="shared" si="13"/>
        <v>#DIV/0!</v>
      </c>
      <c r="R14" s="20" t="e">
        <f t="shared" si="13"/>
        <v>#DIV/0!</v>
      </c>
      <c r="S14" s="20" t="e">
        <f t="shared" si="13"/>
        <v>#DIV/0!</v>
      </c>
      <c r="T14" s="20" t="e">
        <f t="shared" si="13"/>
        <v>#DIV/0!</v>
      </c>
      <c r="U14" s="20" t="e">
        <f t="shared" si="13"/>
        <v>#DIV/0!</v>
      </c>
      <c r="V14" s="20" t="e">
        <f t="shared" si="13"/>
        <v>#DIV/0!</v>
      </c>
      <c r="W14" s="20" t="e">
        <f t="shared" si="13"/>
        <v>#DIV/0!</v>
      </c>
      <c r="X14" s="20">
        <f t="shared" si="13"/>
        <v>1.1913626209977664</v>
      </c>
      <c r="Y14" s="20">
        <f t="shared" si="13"/>
        <v>1.1913626209977664</v>
      </c>
      <c r="Z14" s="20">
        <f t="shared" si="13"/>
        <v>1.177509567265234</v>
      </c>
      <c r="AA14" s="20">
        <f t="shared" si="13"/>
        <v>1.177509567265234</v>
      </c>
      <c r="AB14" s="20">
        <f>AB12/AB10</f>
        <v>0.58823529411764708</v>
      </c>
      <c r="AC14" s="20">
        <f t="shared" si="10"/>
        <v>1.2272727272727273</v>
      </c>
      <c r="AD14" s="20">
        <f t="shared" si="10"/>
        <v>0.83333333333333337</v>
      </c>
      <c r="AE14" s="20">
        <f t="shared" si="10"/>
        <v>1.2</v>
      </c>
      <c r="AF14" s="20">
        <f t="shared" si="10"/>
        <v>1.0666666666666667</v>
      </c>
      <c r="AG14" s="20">
        <f t="shared" si="10"/>
        <v>1.0333333333333334</v>
      </c>
      <c r="AH14" s="20">
        <f t="shared" si="10"/>
        <v>1</v>
      </c>
      <c r="AI14" s="20">
        <f t="shared" si="10"/>
        <v>0.96666666666666667</v>
      </c>
      <c r="AJ14" s="20">
        <f t="shared" si="10"/>
        <v>0.9</v>
      </c>
      <c r="AK14" s="20">
        <f t="shared" si="10"/>
        <v>0.9</v>
      </c>
      <c r="AL14" s="20">
        <f t="shared" si="10"/>
        <v>0.9</v>
      </c>
      <c r="AM14" s="20">
        <f>AM12/AM10</f>
        <v>0.8666666666666667</v>
      </c>
      <c r="AN14" s="20">
        <f t="shared" si="10"/>
        <v>1.1333333333333333</v>
      </c>
      <c r="AO14" s="20">
        <f t="shared" si="10"/>
        <v>1.2121212121212122</v>
      </c>
      <c r="AP14" s="20">
        <f t="shared" si="10"/>
        <v>1.1742424242424243</v>
      </c>
      <c r="AQ14" s="20">
        <f t="shared" si="10"/>
        <v>1.1742424242424243</v>
      </c>
      <c r="AR14" s="20">
        <f t="shared" si="10"/>
        <v>1.0984848484848484</v>
      </c>
      <c r="AS14" s="20">
        <f t="shared" ref="AS14:DD14" si="14">AS11/AS10</f>
        <v>1.1349449551696744</v>
      </c>
      <c r="AT14" s="20">
        <f t="shared" si="14"/>
        <v>1.1349449551696744</v>
      </c>
      <c r="AU14" s="20">
        <f t="shared" si="14"/>
        <v>1.1349449551696744</v>
      </c>
      <c r="AV14" s="20">
        <f t="shared" si="14"/>
        <v>1.1349449551696744</v>
      </c>
      <c r="AW14" s="20">
        <f t="shared" si="14"/>
        <v>1.1349449551696744</v>
      </c>
      <c r="AX14" s="20">
        <f t="shared" si="14"/>
        <v>1.1349449551696744</v>
      </c>
      <c r="AY14" s="20">
        <f t="shared" si="14"/>
        <v>1.1349449551696744</v>
      </c>
      <c r="AZ14" s="20">
        <f t="shared" si="14"/>
        <v>1.1349449551696744</v>
      </c>
      <c r="BA14" s="20">
        <f t="shared" si="14"/>
        <v>1.1349449551696744</v>
      </c>
      <c r="BB14" s="20">
        <f t="shared" si="14"/>
        <v>1.1349449551696744</v>
      </c>
      <c r="BC14" s="20">
        <f t="shared" si="14"/>
        <v>1.1349449551696744</v>
      </c>
      <c r="BD14" s="20">
        <f t="shared" si="14"/>
        <v>1.1349449551696744</v>
      </c>
      <c r="BE14" s="20">
        <f t="shared" si="14"/>
        <v>1.1349449551696744</v>
      </c>
      <c r="BF14" s="20">
        <f t="shared" si="14"/>
        <v>1.1349449551696744</v>
      </c>
      <c r="BG14" s="20">
        <f t="shared" si="14"/>
        <v>1.1349449551696744</v>
      </c>
      <c r="BH14" s="20">
        <f t="shared" si="14"/>
        <v>1.1349449551696744</v>
      </c>
      <c r="BI14" s="20">
        <f t="shared" si="14"/>
        <v>1.1349449551696744</v>
      </c>
      <c r="BJ14" s="20">
        <f t="shared" si="14"/>
        <v>1.1349449551696744</v>
      </c>
      <c r="BK14" s="20">
        <f t="shared" si="14"/>
        <v>1.1349449551696744</v>
      </c>
      <c r="BL14" s="20">
        <f t="shared" si="14"/>
        <v>1.1349449551696744</v>
      </c>
      <c r="BM14" s="20">
        <f t="shared" si="14"/>
        <v>1.1349449551696744</v>
      </c>
      <c r="BN14" s="20">
        <f t="shared" si="14"/>
        <v>1.1349449551696744</v>
      </c>
      <c r="BO14" s="20">
        <f t="shared" si="14"/>
        <v>1.1349449551696744</v>
      </c>
      <c r="BP14" s="20">
        <f t="shared" si="14"/>
        <v>1.1349449551696744</v>
      </c>
      <c r="BQ14" s="20">
        <f t="shared" si="14"/>
        <v>1.1349449551696744</v>
      </c>
      <c r="BR14" s="20">
        <f t="shared" si="14"/>
        <v>1.1349449551696744</v>
      </c>
      <c r="BS14" s="20">
        <f t="shared" si="14"/>
        <v>1.1349449551696744</v>
      </c>
      <c r="BT14" s="20">
        <f>BT11/BT10</f>
        <v>1.1349449551696744</v>
      </c>
      <c r="BU14" s="20">
        <f t="shared" si="14"/>
        <v>1.2680056806654494</v>
      </c>
      <c r="BV14" s="20">
        <f>BV11/BV10</f>
        <v>1.4504525411928524</v>
      </c>
      <c r="BW14" s="20">
        <f t="shared" si="14"/>
        <v>1.1643815678397813</v>
      </c>
      <c r="BX14" s="20">
        <f t="shared" si="14"/>
        <v>1.1643815678397813</v>
      </c>
      <c r="BY14" s="20">
        <f t="shared" si="14"/>
        <v>1.097935880544576</v>
      </c>
      <c r="BZ14" s="20">
        <f t="shared" si="14"/>
        <v>1.097935880544576</v>
      </c>
      <c r="CA14" s="20">
        <f t="shared" si="14"/>
        <v>1.097935880544576</v>
      </c>
      <c r="CB14" s="20">
        <f t="shared" si="14"/>
        <v>1.0920010920010921</v>
      </c>
      <c r="CC14" s="20">
        <f t="shared" si="14"/>
        <v>1.0920010920010921</v>
      </c>
      <c r="CD14" s="20">
        <f t="shared" si="14"/>
        <v>1.0920010920010921</v>
      </c>
      <c r="CE14" s="20">
        <f t="shared" si="14"/>
        <v>1.0920010920010921</v>
      </c>
      <c r="CF14" s="20">
        <f t="shared" si="14"/>
        <v>1.0920010920010921</v>
      </c>
      <c r="CG14" s="20">
        <f t="shared" si="14"/>
        <v>1.0920010920010921</v>
      </c>
      <c r="CH14" s="20">
        <f t="shared" si="14"/>
        <v>1.0920010920010921</v>
      </c>
      <c r="CI14" s="20">
        <f t="shared" si="14"/>
        <v>0.7800007800007801</v>
      </c>
      <c r="CJ14" s="20">
        <f t="shared" si="14"/>
        <v>1.0920010920010921</v>
      </c>
      <c r="CK14" s="20">
        <f t="shared" si="14"/>
        <v>0.7800007800007801</v>
      </c>
      <c r="CL14" s="20">
        <f t="shared" si="14"/>
        <v>1.0903236709688324</v>
      </c>
      <c r="CM14" s="20">
        <f t="shared" si="14"/>
        <v>1</v>
      </c>
      <c r="CN14" s="20">
        <f t="shared" si="14"/>
        <v>1</v>
      </c>
      <c r="CO14" s="20">
        <f t="shared" si="14"/>
        <v>1</v>
      </c>
      <c r="CP14" s="20">
        <f t="shared" si="14"/>
        <v>1</v>
      </c>
      <c r="CQ14" s="20">
        <f t="shared" si="14"/>
        <v>1</v>
      </c>
      <c r="CR14" s="20">
        <f t="shared" si="14"/>
        <v>1</v>
      </c>
      <c r="CS14" s="20">
        <f t="shared" si="14"/>
        <v>1</v>
      </c>
      <c r="CT14" s="20">
        <f t="shared" si="14"/>
        <v>1</v>
      </c>
      <c r="CU14" s="20">
        <f t="shared" si="14"/>
        <v>1</v>
      </c>
      <c r="CV14" s="20">
        <f t="shared" si="14"/>
        <v>1</v>
      </c>
      <c r="CW14" s="20">
        <f t="shared" si="14"/>
        <v>1</v>
      </c>
      <c r="CX14" s="20">
        <f t="shared" si="14"/>
        <v>1</v>
      </c>
      <c r="CY14" s="20">
        <f t="shared" si="14"/>
        <v>1</v>
      </c>
      <c r="CZ14" s="20">
        <f t="shared" si="14"/>
        <v>1</v>
      </c>
      <c r="DA14" s="20">
        <f t="shared" si="14"/>
        <v>1</v>
      </c>
      <c r="DB14" s="20">
        <f t="shared" si="14"/>
        <v>1</v>
      </c>
      <c r="DC14" s="20">
        <f t="shared" si="14"/>
        <v>1</v>
      </c>
      <c r="DD14" s="20">
        <f t="shared" si="14"/>
        <v>1</v>
      </c>
      <c r="DE14" s="20">
        <f t="shared" ref="DE14:EY14" si="15">DE11/DE10</f>
        <v>1</v>
      </c>
      <c r="DF14" s="20">
        <f t="shared" si="15"/>
        <v>1</v>
      </c>
      <c r="DG14" s="20">
        <f t="shared" si="15"/>
        <v>1</v>
      </c>
      <c r="DH14" s="20">
        <f t="shared" si="15"/>
        <v>1</v>
      </c>
      <c r="DI14" s="20">
        <f t="shared" si="15"/>
        <v>1</v>
      </c>
      <c r="DJ14" s="20">
        <f t="shared" si="15"/>
        <v>1</v>
      </c>
      <c r="DK14" s="20">
        <f t="shared" si="15"/>
        <v>1</v>
      </c>
      <c r="DL14" s="20">
        <f t="shared" si="15"/>
        <v>1</v>
      </c>
      <c r="DM14" s="20">
        <f t="shared" si="15"/>
        <v>1</v>
      </c>
      <c r="DN14" s="20">
        <f t="shared" si="15"/>
        <v>1</v>
      </c>
      <c r="DO14" s="20">
        <f t="shared" si="15"/>
        <v>1</v>
      </c>
      <c r="DP14" s="20">
        <f t="shared" si="15"/>
        <v>1</v>
      </c>
      <c r="DQ14" s="20">
        <f t="shared" si="15"/>
        <v>1</v>
      </c>
      <c r="DR14" s="20">
        <f t="shared" si="15"/>
        <v>1</v>
      </c>
      <c r="DS14" s="20">
        <f t="shared" si="15"/>
        <v>1</v>
      </c>
      <c r="DT14" s="20">
        <f t="shared" si="15"/>
        <v>1</v>
      </c>
      <c r="DU14" s="20">
        <f t="shared" si="15"/>
        <v>1</v>
      </c>
      <c r="DV14" s="20">
        <f t="shared" si="15"/>
        <v>1</v>
      </c>
      <c r="DW14" s="20">
        <f t="shared" si="15"/>
        <v>1</v>
      </c>
      <c r="DX14" s="20">
        <f t="shared" si="15"/>
        <v>1</v>
      </c>
      <c r="DY14" s="20">
        <f t="shared" si="15"/>
        <v>1</v>
      </c>
      <c r="DZ14" s="20">
        <f t="shared" si="15"/>
        <v>1</v>
      </c>
      <c r="EA14" s="20">
        <f t="shared" si="15"/>
        <v>1.0740740740740742</v>
      </c>
      <c r="EB14" s="20">
        <f t="shared" si="15"/>
        <v>1.0740740740740742</v>
      </c>
      <c r="EC14" s="20">
        <f t="shared" si="15"/>
        <v>0.98148148148148151</v>
      </c>
      <c r="ED14" s="20">
        <f t="shared" si="15"/>
        <v>0.98148148148148151</v>
      </c>
      <c r="EE14" s="20">
        <f t="shared" si="15"/>
        <v>0.98148148148148151</v>
      </c>
      <c r="EF14" s="20">
        <f t="shared" si="15"/>
        <v>0.98148148148148151</v>
      </c>
      <c r="EG14" s="20">
        <f t="shared" si="15"/>
        <v>0.98148148148148151</v>
      </c>
      <c r="EH14" s="20">
        <f t="shared" si="15"/>
        <v>0.98148148148148151</v>
      </c>
      <c r="EI14" s="20">
        <f t="shared" si="15"/>
        <v>0.98148148148148151</v>
      </c>
      <c r="EJ14" s="20">
        <f t="shared" si="15"/>
        <v>0.98148148148148151</v>
      </c>
      <c r="EK14" s="20">
        <f t="shared" si="15"/>
        <v>0.98148148148148151</v>
      </c>
      <c r="EL14" s="20">
        <f t="shared" si="15"/>
        <v>0.98148148148148151</v>
      </c>
      <c r="EM14" s="20">
        <f t="shared" si="15"/>
        <v>0.98148148148148151</v>
      </c>
      <c r="EN14" s="20">
        <f t="shared" si="15"/>
        <v>0.98148148148148151</v>
      </c>
      <c r="EO14" s="20">
        <f t="shared" si="15"/>
        <v>0.98148148148148151</v>
      </c>
      <c r="EP14" s="20">
        <f t="shared" si="15"/>
        <v>0.98148148148148151</v>
      </c>
      <c r="EQ14" s="20">
        <f t="shared" si="15"/>
        <v>0.98148148148148151</v>
      </c>
      <c r="ER14" s="20">
        <f t="shared" si="15"/>
        <v>0.98148148148148151</v>
      </c>
      <c r="ES14" s="20">
        <f t="shared" si="15"/>
        <v>0.98148148148148151</v>
      </c>
      <c r="ET14" s="20">
        <f t="shared" si="15"/>
        <v>0.98148148148148151</v>
      </c>
      <c r="EU14" s="20">
        <f t="shared" si="15"/>
        <v>1</v>
      </c>
      <c r="EV14" s="20">
        <f t="shared" si="15"/>
        <v>1</v>
      </c>
      <c r="EW14" s="20">
        <f t="shared" si="15"/>
        <v>1</v>
      </c>
      <c r="EX14" s="20">
        <f t="shared" si="15"/>
        <v>1</v>
      </c>
      <c r="EY14" s="20">
        <f t="shared" si="15"/>
        <v>1</v>
      </c>
    </row>
    <row r="16" spans="1:155" hidden="1" x14ac:dyDescent="0.3">
      <c r="A16" s="36"/>
      <c r="B16" s="36"/>
      <c r="C16" s="37"/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hidden="1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</row>
    <row r="18" spans="1:155" hidden="1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</row>
    <row r="19" spans="1:155" hidden="1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0</v>
      </c>
      <c r="CH19" s="18">
        <f t="shared" ref="CH19:ES19" si="16">CH18</f>
        <v>0</v>
      </c>
      <c r="CI19" s="18">
        <f t="shared" si="16"/>
        <v>0</v>
      </c>
      <c r="CJ19" s="18">
        <f t="shared" si="16"/>
        <v>0</v>
      </c>
      <c r="CK19" s="18">
        <f t="shared" si="16"/>
        <v>0</v>
      </c>
      <c r="CL19" s="18">
        <f t="shared" si="16"/>
        <v>0</v>
      </c>
      <c r="CM19" s="18">
        <f t="shared" si="16"/>
        <v>0</v>
      </c>
      <c r="CN19" s="18">
        <f t="shared" si="16"/>
        <v>0</v>
      </c>
      <c r="CO19" s="22">
        <f t="shared" si="16"/>
        <v>0</v>
      </c>
      <c r="CP19" s="22">
        <f t="shared" si="16"/>
        <v>0</v>
      </c>
      <c r="CQ19" s="22">
        <f t="shared" si="16"/>
        <v>0</v>
      </c>
      <c r="CR19" s="22">
        <f t="shared" si="16"/>
        <v>0</v>
      </c>
      <c r="CS19" s="22">
        <f t="shared" si="16"/>
        <v>0</v>
      </c>
      <c r="CT19" s="22">
        <f t="shared" si="16"/>
        <v>0</v>
      </c>
      <c r="CU19" s="22">
        <f t="shared" si="16"/>
        <v>0</v>
      </c>
      <c r="CV19" s="22">
        <f t="shared" si="16"/>
        <v>0</v>
      </c>
      <c r="CW19" s="22">
        <f t="shared" si="16"/>
        <v>0</v>
      </c>
      <c r="CX19" s="22">
        <f t="shared" si="16"/>
        <v>0</v>
      </c>
      <c r="CY19" s="22">
        <f t="shared" si="16"/>
        <v>0</v>
      </c>
      <c r="CZ19" s="22">
        <f t="shared" si="16"/>
        <v>0</v>
      </c>
      <c r="DA19" s="22">
        <f t="shared" si="16"/>
        <v>0</v>
      </c>
      <c r="DB19" s="22">
        <f t="shared" si="16"/>
        <v>0</v>
      </c>
      <c r="DC19" s="22">
        <f t="shared" si="16"/>
        <v>0</v>
      </c>
      <c r="DD19" s="22">
        <f t="shared" si="16"/>
        <v>0</v>
      </c>
      <c r="DE19" s="22">
        <f t="shared" si="16"/>
        <v>0</v>
      </c>
      <c r="DF19" s="22">
        <f t="shared" si="16"/>
        <v>0</v>
      </c>
      <c r="DG19" s="22">
        <f t="shared" si="16"/>
        <v>0</v>
      </c>
      <c r="DH19" s="22">
        <f t="shared" si="16"/>
        <v>0</v>
      </c>
      <c r="DI19" s="22">
        <f t="shared" si="16"/>
        <v>0</v>
      </c>
      <c r="DJ19" s="22">
        <f t="shared" si="16"/>
        <v>0</v>
      </c>
      <c r="DK19" s="22">
        <f t="shared" si="16"/>
        <v>0</v>
      </c>
      <c r="DL19" s="22">
        <f t="shared" si="16"/>
        <v>0</v>
      </c>
      <c r="DM19" s="22">
        <f t="shared" si="16"/>
        <v>0</v>
      </c>
      <c r="DN19" s="22">
        <f t="shared" si="16"/>
        <v>0</v>
      </c>
      <c r="DO19" s="22">
        <f t="shared" si="16"/>
        <v>0</v>
      </c>
      <c r="DP19" s="22">
        <f t="shared" si="16"/>
        <v>0</v>
      </c>
      <c r="DQ19" s="22">
        <f t="shared" si="16"/>
        <v>0</v>
      </c>
      <c r="DR19" s="22">
        <f t="shared" si="16"/>
        <v>0</v>
      </c>
      <c r="DS19" s="22">
        <f t="shared" si="16"/>
        <v>0</v>
      </c>
      <c r="DT19" s="22">
        <f t="shared" si="16"/>
        <v>0</v>
      </c>
      <c r="DU19" s="22">
        <f t="shared" si="16"/>
        <v>0</v>
      </c>
      <c r="DV19" s="22">
        <f t="shared" si="16"/>
        <v>0</v>
      </c>
      <c r="DW19" s="22">
        <f t="shared" si="16"/>
        <v>0</v>
      </c>
      <c r="DX19" s="22">
        <f t="shared" si="16"/>
        <v>0</v>
      </c>
      <c r="DY19" s="22">
        <f t="shared" si="16"/>
        <v>0</v>
      </c>
      <c r="DZ19" s="22">
        <f t="shared" si="16"/>
        <v>0</v>
      </c>
      <c r="EA19" s="22">
        <f t="shared" si="16"/>
        <v>0</v>
      </c>
      <c r="EB19" s="22">
        <f t="shared" si="16"/>
        <v>0</v>
      </c>
      <c r="EC19" s="22">
        <f t="shared" si="16"/>
        <v>0</v>
      </c>
      <c r="ED19" s="22">
        <f t="shared" si="16"/>
        <v>0</v>
      </c>
      <c r="EE19" s="22">
        <f t="shared" si="16"/>
        <v>0</v>
      </c>
      <c r="EF19" s="22">
        <f t="shared" si="16"/>
        <v>0</v>
      </c>
      <c r="EG19" s="22">
        <f t="shared" si="16"/>
        <v>0</v>
      </c>
      <c r="EH19" s="22">
        <f t="shared" si="16"/>
        <v>0</v>
      </c>
      <c r="EI19" s="22">
        <f t="shared" si="16"/>
        <v>0</v>
      </c>
      <c r="EJ19" s="22">
        <f t="shared" si="16"/>
        <v>0</v>
      </c>
      <c r="EK19" s="22">
        <f t="shared" si="16"/>
        <v>0</v>
      </c>
      <c r="EL19" s="22">
        <f t="shared" si="16"/>
        <v>0</v>
      </c>
      <c r="EM19" s="22">
        <f t="shared" si="16"/>
        <v>0</v>
      </c>
      <c r="EN19" s="22">
        <f t="shared" si="16"/>
        <v>0</v>
      </c>
      <c r="EO19" s="22">
        <f t="shared" si="16"/>
        <v>0</v>
      </c>
      <c r="EP19" s="22">
        <f t="shared" si="16"/>
        <v>0</v>
      </c>
      <c r="EQ19" s="22">
        <f t="shared" si="16"/>
        <v>0</v>
      </c>
      <c r="ER19" s="22">
        <f t="shared" si="16"/>
        <v>0</v>
      </c>
      <c r="ES19" s="22">
        <f t="shared" si="16"/>
        <v>0</v>
      </c>
      <c r="ET19" s="22">
        <f t="shared" ref="ET19:EY19" si="17">ET18</f>
        <v>0</v>
      </c>
      <c r="EU19" s="22">
        <f t="shared" si="17"/>
        <v>0</v>
      </c>
      <c r="EV19" s="22">
        <f t="shared" si="17"/>
        <v>0</v>
      </c>
      <c r="EW19" s="22">
        <f t="shared" si="17"/>
        <v>0</v>
      </c>
      <c r="EX19" s="22">
        <f t="shared" si="17"/>
        <v>0</v>
      </c>
      <c r="EY19" s="22">
        <f t="shared" si="17"/>
        <v>0</v>
      </c>
    </row>
    <row r="20" spans="1:155" hidden="1" x14ac:dyDescent="0.3">
      <c r="A20" s="36"/>
      <c r="B20" s="36"/>
      <c r="C20" s="38"/>
      <c r="D20" s="15" t="s">
        <v>16</v>
      </c>
      <c r="E20" s="19" t="e">
        <f t="shared" ref="E20:BP21" si="18">E18/E16</f>
        <v>#DIV/0!</v>
      </c>
      <c r="F20" s="19" t="e">
        <f t="shared" si="18"/>
        <v>#DIV/0!</v>
      </c>
      <c r="G20" s="19" t="e">
        <f t="shared" si="18"/>
        <v>#DIV/0!</v>
      </c>
      <c r="H20" s="19" t="e">
        <f t="shared" si="18"/>
        <v>#DIV/0!</v>
      </c>
      <c r="I20" s="19" t="e">
        <f t="shared" si="18"/>
        <v>#DIV/0!</v>
      </c>
      <c r="J20" s="19" t="e">
        <f t="shared" si="18"/>
        <v>#DIV/0!</v>
      </c>
      <c r="K20" s="19" t="e">
        <f t="shared" si="18"/>
        <v>#DIV/0!</v>
      </c>
      <c r="L20" s="19" t="e">
        <f t="shared" si="18"/>
        <v>#DIV/0!</v>
      </c>
      <c r="M20" s="19" t="e">
        <f t="shared" si="18"/>
        <v>#DIV/0!</v>
      </c>
      <c r="N20" s="19" t="e">
        <f t="shared" si="18"/>
        <v>#DIV/0!</v>
      </c>
      <c r="O20" s="19" t="e">
        <f t="shared" si="18"/>
        <v>#DIV/0!</v>
      </c>
      <c r="P20" s="19" t="e">
        <f t="shared" si="18"/>
        <v>#DIV/0!</v>
      </c>
      <c r="Q20" s="19" t="e">
        <f t="shared" si="18"/>
        <v>#DIV/0!</v>
      </c>
      <c r="R20" s="19" t="e">
        <f t="shared" si="18"/>
        <v>#DIV/0!</v>
      </c>
      <c r="S20" s="19" t="e">
        <f t="shared" si="18"/>
        <v>#DIV/0!</v>
      </c>
      <c r="T20" s="19" t="e">
        <f t="shared" si="18"/>
        <v>#DIV/0!</v>
      </c>
      <c r="U20" s="19" t="e">
        <f t="shared" si="18"/>
        <v>#DIV/0!</v>
      </c>
      <c r="V20" s="19" t="e">
        <f t="shared" si="18"/>
        <v>#DIV/0!</v>
      </c>
      <c r="W20" s="19" t="e">
        <f t="shared" si="18"/>
        <v>#DIV/0!</v>
      </c>
      <c r="X20" s="19" t="e">
        <f t="shared" si="18"/>
        <v>#DIV/0!</v>
      </c>
      <c r="Y20" s="19" t="e">
        <f t="shared" si="18"/>
        <v>#DIV/0!</v>
      </c>
      <c r="Z20" s="19" t="e">
        <f t="shared" si="18"/>
        <v>#DIV/0!</v>
      </c>
      <c r="AA20" s="19" t="e">
        <f t="shared" si="18"/>
        <v>#DIV/0!</v>
      </c>
      <c r="AB20" s="19" t="e">
        <f t="shared" si="18"/>
        <v>#DIV/0!</v>
      </c>
      <c r="AC20" s="19" t="e">
        <f t="shared" si="18"/>
        <v>#DIV/0!</v>
      </c>
      <c r="AD20" s="19" t="e">
        <f t="shared" si="18"/>
        <v>#DIV/0!</v>
      </c>
      <c r="AE20" s="19" t="e">
        <f t="shared" si="18"/>
        <v>#DIV/0!</v>
      </c>
      <c r="AF20" s="19" t="e">
        <f t="shared" si="18"/>
        <v>#DIV/0!</v>
      </c>
      <c r="AG20" s="19" t="e">
        <f t="shared" si="18"/>
        <v>#DIV/0!</v>
      </c>
      <c r="AH20" s="19" t="e">
        <f t="shared" si="18"/>
        <v>#DIV/0!</v>
      </c>
      <c r="AI20" s="19" t="e">
        <f t="shared" si="18"/>
        <v>#DIV/0!</v>
      </c>
      <c r="AJ20" s="19" t="e">
        <f t="shared" si="18"/>
        <v>#DIV/0!</v>
      </c>
      <c r="AK20" s="19" t="e">
        <f t="shared" si="18"/>
        <v>#DIV/0!</v>
      </c>
      <c r="AL20" s="19" t="e">
        <f t="shared" si="18"/>
        <v>#DIV/0!</v>
      </c>
      <c r="AM20" s="19" t="e">
        <f t="shared" si="18"/>
        <v>#DIV/0!</v>
      </c>
      <c r="AN20" s="19" t="e">
        <f t="shared" si="18"/>
        <v>#DIV/0!</v>
      </c>
      <c r="AO20" s="19" t="e">
        <f t="shared" si="18"/>
        <v>#DIV/0!</v>
      </c>
      <c r="AP20" s="19" t="e">
        <f t="shared" si="18"/>
        <v>#DIV/0!</v>
      </c>
      <c r="AQ20" s="19" t="e">
        <f t="shared" si="18"/>
        <v>#DIV/0!</v>
      </c>
      <c r="AR20" s="19" t="e">
        <f t="shared" si="18"/>
        <v>#DIV/0!</v>
      </c>
      <c r="AS20" s="19" t="e">
        <f t="shared" si="18"/>
        <v>#DIV/0!</v>
      </c>
      <c r="AT20" s="19" t="e">
        <f t="shared" si="18"/>
        <v>#DIV/0!</v>
      </c>
      <c r="AU20" s="19" t="e">
        <f t="shared" si="18"/>
        <v>#DIV/0!</v>
      </c>
      <c r="AV20" s="19" t="e">
        <f t="shared" si="18"/>
        <v>#DIV/0!</v>
      </c>
      <c r="AW20" s="19" t="e">
        <f t="shared" si="18"/>
        <v>#DIV/0!</v>
      </c>
      <c r="AX20" s="19" t="e">
        <f t="shared" si="18"/>
        <v>#DIV/0!</v>
      </c>
      <c r="AY20" s="19" t="e">
        <f t="shared" si="18"/>
        <v>#DIV/0!</v>
      </c>
      <c r="AZ20" s="19" t="e">
        <f t="shared" si="18"/>
        <v>#DIV/0!</v>
      </c>
      <c r="BA20" s="19" t="e">
        <f t="shared" si="18"/>
        <v>#DIV/0!</v>
      </c>
      <c r="BB20" s="19" t="e">
        <f t="shared" si="18"/>
        <v>#DIV/0!</v>
      </c>
      <c r="BC20" s="19" t="e">
        <f t="shared" si="18"/>
        <v>#DIV/0!</v>
      </c>
      <c r="BD20" s="19" t="e">
        <f t="shared" si="18"/>
        <v>#DIV/0!</v>
      </c>
      <c r="BE20" s="19" t="e">
        <f t="shared" si="18"/>
        <v>#DIV/0!</v>
      </c>
      <c r="BF20" s="19" t="e">
        <f t="shared" si="18"/>
        <v>#DIV/0!</v>
      </c>
      <c r="BG20" s="19" t="e">
        <f t="shared" si="18"/>
        <v>#DIV/0!</v>
      </c>
      <c r="BH20" s="19" t="e">
        <f t="shared" si="18"/>
        <v>#DIV/0!</v>
      </c>
      <c r="BI20" s="19" t="e">
        <f t="shared" si="18"/>
        <v>#DIV/0!</v>
      </c>
      <c r="BJ20" s="19" t="e">
        <f t="shared" si="18"/>
        <v>#DIV/0!</v>
      </c>
      <c r="BK20" s="19" t="e">
        <f t="shared" si="18"/>
        <v>#DIV/0!</v>
      </c>
      <c r="BL20" s="19" t="e">
        <f t="shared" si="18"/>
        <v>#DIV/0!</v>
      </c>
      <c r="BM20" s="19" t="e">
        <f t="shared" si="18"/>
        <v>#DIV/0!</v>
      </c>
      <c r="BN20" s="19" t="e">
        <f t="shared" si="18"/>
        <v>#DIV/0!</v>
      </c>
      <c r="BO20" s="19" t="e">
        <f t="shared" si="18"/>
        <v>#DIV/0!</v>
      </c>
      <c r="BP20" s="19" t="e">
        <f t="shared" si="18"/>
        <v>#DIV/0!</v>
      </c>
      <c r="BQ20" s="19" t="e">
        <f t="shared" ref="BQ20:EB20" si="19">BQ18/BQ16</f>
        <v>#DIV/0!</v>
      </c>
      <c r="BR20" s="19" t="e">
        <f t="shared" si="19"/>
        <v>#DIV/0!</v>
      </c>
      <c r="BS20" s="19" t="e">
        <f t="shared" si="19"/>
        <v>#DIV/0!</v>
      </c>
      <c r="BT20" s="19" t="e">
        <f t="shared" si="19"/>
        <v>#DIV/0!</v>
      </c>
      <c r="BU20" s="19" t="e">
        <f t="shared" si="19"/>
        <v>#DIV/0!</v>
      </c>
      <c r="BV20" s="19" t="e">
        <f t="shared" si="19"/>
        <v>#DIV/0!</v>
      </c>
      <c r="BW20" s="19" t="e">
        <f t="shared" si="19"/>
        <v>#DIV/0!</v>
      </c>
      <c r="BX20" s="19" t="e">
        <f t="shared" si="19"/>
        <v>#DIV/0!</v>
      </c>
      <c r="BY20" s="19" t="e">
        <f t="shared" si="19"/>
        <v>#DIV/0!</v>
      </c>
      <c r="BZ20" s="19" t="e">
        <f t="shared" si="19"/>
        <v>#DIV/0!</v>
      </c>
      <c r="CA20" s="19" t="e">
        <f t="shared" si="19"/>
        <v>#DIV/0!</v>
      </c>
      <c r="CB20" s="19" t="e">
        <f t="shared" si="19"/>
        <v>#DIV/0!</v>
      </c>
      <c r="CC20" s="19" t="e">
        <f t="shared" si="19"/>
        <v>#DIV/0!</v>
      </c>
      <c r="CD20" s="19" t="e">
        <f t="shared" si="19"/>
        <v>#DIV/0!</v>
      </c>
      <c r="CE20" s="19" t="e">
        <f t="shared" si="19"/>
        <v>#DIV/0!</v>
      </c>
      <c r="CF20" s="19" t="e">
        <f t="shared" si="19"/>
        <v>#DIV/0!</v>
      </c>
      <c r="CG20" s="19" t="e">
        <f t="shared" si="19"/>
        <v>#DIV/0!</v>
      </c>
      <c r="CH20" s="19" t="e">
        <f t="shared" si="19"/>
        <v>#DIV/0!</v>
      </c>
      <c r="CI20" s="19" t="e">
        <f t="shared" si="19"/>
        <v>#DIV/0!</v>
      </c>
      <c r="CJ20" s="19" t="e">
        <f t="shared" si="19"/>
        <v>#DIV/0!</v>
      </c>
      <c r="CK20" s="19" t="e">
        <f t="shared" si="19"/>
        <v>#DIV/0!</v>
      </c>
      <c r="CL20" s="19" t="e">
        <f t="shared" si="19"/>
        <v>#DIV/0!</v>
      </c>
      <c r="CM20" s="19" t="e">
        <f t="shared" si="19"/>
        <v>#DIV/0!</v>
      </c>
      <c r="CN20" s="19" t="e">
        <f t="shared" si="19"/>
        <v>#DIV/0!</v>
      </c>
      <c r="CO20" s="19" t="e">
        <f t="shared" si="19"/>
        <v>#DIV/0!</v>
      </c>
      <c r="CP20" s="19" t="e">
        <f t="shared" si="19"/>
        <v>#DIV/0!</v>
      </c>
      <c r="CQ20" s="19" t="e">
        <f t="shared" si="19"/>
        <v>#DIV/0!</v>
      </c>
      <c r="CR20" s="19" t="e">
        <f t="shared" si="19"/>
        <v>#DIV/0!</v>
      </c>
      <c r="CS20" s="19" t="e">
        <f t="shared" si="19"/>
        <v>#DIV/0!</v>
      </c>
      <c r="CT20" s="19" t="e">
        <f t="shared" si="19"/>
        <v>#DIV/0!</v>
      </c>
      <c r="CU20" s="19" t="e">
        <f t="shared" si="19"/>
        <v>#DIV/0!</v>
      </c>
      <c r="CV20" s="19" t="e">
        <f t="shared" si="19"/>
        <v>#DIV/0!</v>
      </c>
      <c r="CW20" s="19" t="e">
        <f t="shared" si="19"/>
        <v>#DIV/0!</v>
      </c>
      <c r="CX20" s="19" t="e">
        <f t="shared" si="19"/>
        <v>#DIV/0!</v>
      </c>
      <c r="CY20" s="19" t="e">
        <f t="shared" si="19"/>
        <v>#DIV/0!</v>
      </c>
      <c r="CZ20" s="19" t="e">
        <f t="shared" si="19"/>
        <v>#DIV/0!</v>
      </c>
      <c r="DA20" s="19" t="e">
        <f t="shared" si="19"/>
        <v>#DIV/0!</v>
      </c>
      <c r="DB20" s="19" t="e">
        <f t="shared" si="19"/>
        <v>#DIV/0!</v>
      </c>
      <c r="DC20" s="19" t="e">
        <f t="shared" si="19"/>
        <v>#DIV/0!</v>
      </c>
      <c r="DD20" s="19" t="e">
        <f t="shared" si="19"/>
        <v>#DIV/0!</v>
      </c>
      <c r="DE20" s="19" t="e">
        <f t="shared" si="19"/>
        <v>#DIV/0!</v>
      </c>
      <c r="DF20" s="19" t="e">
        <f t="shared" si="19"/>
        <v>#DIV/0!</v>
      </c>
      <c r="DG20" s="19" t="e">
        <f t="shared" si="19"/>
        <v>#DIV/0!</v>
      </c>
      <c r="DH20" s="19" t="e">
        <f t="shared" si="19"/>
        <v>#DIV/0!</v>
      </c>
      <c r="DI20" s="19" t="e">
        <f t="shared" si="19"/>
        <v>#DIV/0!</v>
      </c>
      <c r="DJ20" s="19" t="e">
        <f t="shared" si="19"/>
        <v>#DIV/0!</v>
      </c>
      <c r="DK20" s="19" t="e">
        <f t="shared" si="19"/>
        <v>#DIV/0!</v>
      </c>
      <c r="DL20" s="19" t="e">
        <f t="shared" si="19"/>
        <v>#DIV/0!</v>
      </c>
      <c r="DM20" s="19" t="e">
        <f t="shared" si="19"/>
        <v>#DIV/0!</v>
      </c>
      <c r="DN20" s="19" t="e">
        <f t="shared" si="19"/>
        <v>#DIV/0!</v>
      </c>
      <c r="DO20" s="19" t="e">
        <f t="shared" si="19"/>
        <v>#DIV/0!</v>
      </c>
      <c r="DP20" s="19" t="e">
        <f t="shared" si="19"/>
        <v>#DIV/0!</v>
      </c>
      <c r="DQ20" s="19" t="e">
        <f t="shared" si="19"/>
        <v>#DIV/0!</v>
      </c>
      <c r="DR20" s="19" t="e">
        <f t="shared" si="19"/>
        <v>#DIV/0!</v>
      </c>
      <c r="DS20" s="19" t="e">
        <f t="shared" si="19"/>
        <v>#DIV/0!</v>
      </c>
      <c r="DT20" s="19" t="e">
        <f t="shared" si="19"/>
        <v>#DIV/0!</v>
      </c>
      <c r="DU20" s="19" t="e">
        <f t="shared" si="19"/>
        <v>#DIV/0!</v>
      </c>
      <c r="DV20" s="19" t="e">
        <f t="shared" si="19"/>
        <v>#DIV/0!</v>
      </c>
      <c r="DW20" s="19" t="e">
        <f t="shared" si="19"/>
        <v>#DIV/0!</v>
      </c>
      <c r="DX20" s="19" t="e">
        <f t="shared" si="19"/>
        <v>#DIV/0!</v>
      </c>
      <c r="DY20" s="19" t="e">
        <f t="shared" si="19"/>
        <v>#DIV/0!</v>
      </c>
      <c r="DZ20" s="19" t="e">
        <f t="shared" si="19"/>
        <v>#DIV/0!</v>
      </c>
      <c r="EA20" s="19" t="e">
        <f t="shared" si="19"/>
        <v>#DIV/0!</v>
      </c>
      <c r="EB20" s="19" t="e">
        <f t="shared" si="19"/>
        <v>#DIV/0!</v>
      </c>
      <c r="EC20" s="19" t="e">
        <f t="shared" ref="EC20:EY20" si="20">EC18/EC16</f>
        <v>#DIV/0!</v>
      </c>
      <c r="ED20" s="19" t="e">
        <f t="shared" si="20"/>
        <v>#DIV/0!</v>
      </c>
      <c r="EE20" s="19" t="e">
        <f t="shared" si="20"/>
        <v>#DIV/0!</v>
      </c>
      <c r="EF20" s="19" t="e">
        <f t="shared" si="20"/>
        <v>#DIV/0!</v>
      </c>
      <c r="EG20" s="19" t="e">
        <f t="shared" si="20"/>
        <v>#DIV/0!</v>
      </c>
      <c r="EH20" s="19" t="e">
        <f t="shared" si="20"/>
        <v>#DIV/0!</v>
      </c>
      <c r="EI20" s="19" t="e">
        <f t="shared" si="20"/>
        <v>#DIV/0!</v>
      </c>
      <c r="EJ20" s="19" t="e">
        <f t="shared" si="20"/>
        <v>#DIV/0!</v>
      </c>
      <c r="EK20" s="19" t="e">
        <f t="shared" si="20"/>
        <v>#DIV/0!</v>
      </c>
      <c r="EL20" s="19" t="e">
        <f t="shared" si="20"/>
        <v>#DIV/0!</v>
      </c>
      <c r="EM20" s="19" t="e">
        <f t="shared" si="20"/>
        <v>#DIV/0!</v>
      </c>
      <c r="EN20" s="19" t="e">
        <f t="shared" si="20"/>
        <v>#DIV/0!</v>
      </c>
      <c r="EO20" s="19" t="e">
        <f t="shared" si="20"/>
        <v>#DIV/0!</v>
      </c>
      <c r="EP20" s="19" t="e">
        <f t="shared" si="20"/>
        <v>#DIV/0!</v>
      </c>
      <c r="EQ20" s="19" t="e">
        <f t="shared" si="20"/>
        <v>#DIV/0!</v>
      </c>
      <c r="ER20" s="19" t="e">
        <f t="shared" si="20"/>
        <v>#DIV/0!</v>
      </c>
      <c r="ES20" s="19" t="e">
        <f t="shared" si="20"/>
        <v>#DIV/0!</v>
      </c>
      <c r="ET20" s="19" t="e">
        <f t="shared" si="20"/>
        <v>#DIV/0!</v>
      </c>
      <c r="EU20" s="19" t="e">
        <f t="shared" si="20"/>
        <v>#DIV/0!</v>
      </c>
      <c r="EV20" s="19" t="e">
        <f t="shared" si="20"/>
        <v>#DIV/0!</v>
      </c>
      <c r="EW20" s="19" t="e">
        <f t="shared" si="20"/>
        <v>#DIV/0!</v>
      </c>
      <c r="EX20" s="19" t="e">
        <f t="shared" si="20"/>
        <v>#DIV/0!</v>
      </c>
      <c r="EY20" s="19" t="e">
        <f t="shared" si="20"/>
        <v>#DIV/0!</v>
      </c>
    </row>
    <row r="21" spans="1:155" hidden="1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21">F18/F17</f>
        <v>#DIV/0!</v>
      </c>
      <c r="G21" s="20" t="e">
        <f t="shared" si="21"/>
        <v>#DIV/0!</v>
      </c>
      <c r="H21" s="20" t="e">
        <f t="shared" si="21"/>
        <v>#DIV/0!</v>
      </c>
      <c r="I21" s="20" t="e">
        <f t="shared" si="21"/>
        <v>#DIV/0!</v>
      </c>
      <c r="J21" s="20" t="e">
        <f t="shared" si="21"/>
        <v>#DIV/0!</v>
      </c>
      <c r="K21" s="20" t="e">
        <f t="shared" si="21"/>
        <v>#DIV/0!</v>
      </c>
      <c r="L21" s="20" t="e">
        <f t="shared" si="21"/>
        <v>#DIV/0!</v>
      </c>
      <c r="M21" s="20" t="e">
        <f t="shared" si="21"/>
        <v>#DIV/0!</v>
      </c>
      <c r="N21" s="20" t="e">
        <f t="shared" si="21"/>
        <v>#DIV/0!</v>
      </c>
      <c r="O21" s="20" t="e">
        <f t="shared" si="21"/>
        <v>#DIV/0!</v>
      </c>
      <c r="P21" s="20" t="e">
        <f t="shared" si="21"/>
        <v>#DIV/0!</v>
      </c>
      <c r="Q21" s="20" t="e">
        <f t="shared" si="21"/>
        <v>#DIV/0!</v>
      </c>
      <c r="R21" s="20" t="e">
        <f t="shared" si="21"/>
        <v>#DIV/0!</v>
      </c>
      <c r="S21" s="20" t="e">
        <f t="shared" si="21"/>
        <v>#DIV/0!</v>
      </c>
      <c r="T21" s="20" t="e">
        <f t="shared" si="21"/>
        <v>#DIV/0!</v>
      </c>
      <c r="U21" s="20" t="e">
        <f t="shared" si="21"/>
        <v>#DIV/0!</v>
      </c>
      <c r="V21" s="20" t="e">
        <f t="shared" si="21"/>
        <v>#DIV/0!</v>
      </c>
      <c r="W21" s="20" t="e">
        <f t="shared" si="21"/>
        <v>#DIV/0!</v>
      </c>
      <c r="X21" s="20" t="e">
        <f t="shared" si="21"/>
        <v>#DIV/0!</v>
      </c>
      <c r="Y21" s="20" t="e">
        <f t="shared" si="21"/>
        <v>#DIV/0!</v>
      </c>
      <c r="Z21" s="20" t="e">
        <f t="shared" si="21"/>
        <v>#DIV/0!</v>
      </c>
      <c r="AA21" s="20" t="e">
        <f t="shared" si="21"/>
        <v>#DIV/0!</v>
      </c>
      <c r="AB21" s="20" t="e">
        <f>AB19/AB17</f>
        <v>#DIV/0!</v>
      </c>
      <c r="AC21" s="20" t="e">
        <f t="shared" si="18"/>
        <v>#DIV/0!</v>
      </c>
      <c r="AD21" s="20" t="e">
        <f t="shared" si="18"/>
        <v>#DIV/0!</v>
      </c>
      <c r="AE21" s="20" t="e">
        <f t="shared" si="18"/>
        <v>#DIV/0!</v>
      </c>
      <c r="AF21" s="20" t="e">
        <f t="shared" si="18"/>
        <v>#DIV/0!</v>
      </c>
      <c r="AG21" s="20" t="e">
        <f t="shared" si="18"/>
        <v>#DIV/0!</v>
      </c>
      <c r="AH21" s="20" t="e">
        <f t="shared" si="18"/>
        <v>#DIV/0!</v>
      </c>
      <c r="AI21" s="20" t="e">
        <f t="shared" si="18"/>
        <v>#DIV/0!</v>
      </c>
      <c r="AJ21" s="20" t="e">
        <f t="shared" si="18"/>
        <v>#DIV/0!</v>
      </c>
      <c r="AK21" s="20" t="e">
        <f t="shared" si="18"/>
        <v>#DIV/0!</v>
      </c>
      <c r="AL21" s="20" t="e">
        <f t="shared" si="18"/>
        <v>#DIV/0!</v>
      </c>
      <c r="AM21" s="20" t="e">
        <f>AM19/AM17</f>
        <v>#DIV/0!</v>
      </c>
      <c r="AN21" s="20" t="e">
        <f t="shared" si="18"/>
        <v>#DIV/0!</v>
      </c>
      <c r="AO21" s="20" t="e">
        <f t="shared" si="18"/>
        <v>#DIV/0!</v>
      </c>
      <c r="AP21" s="20" t="e">
        <f t="shared" si="18"/>
        <v>#DIV/0!</v>
      </c>
      <c r="AQ21" s="20" t="e">
        <f t="shared" si="18"/>
        <v>#DIV/0!</v>
      </c>
      <c r="AR21" s="20" t="e">
        <f t="shared" si="18"/>
        <v>#DIV/0!</v>
      </c>
      <c r="AS21" s="20" t="e">
        <f t="shared" ref="AS21:DD21" si="22">AS18/AS17</f>
        <v>#DIV/0!</v>
      </c>
      <c r="AT21" s="20" t="e">
        <f t="shared" si="22"/>
        <v>#DIV/0!</v>
      </c>
      <c r="AU21" s="20" t="e">
        <f t="shared" si="22"/>
        <v>#DIV/0!</v>
      </c>
      <c r="AV21" s="20" t="e">
        <f t="shared" si="22"/>
        <v>#DIV/0!</v>
      </c>
      <c r="AW21" s="20" t="e">
        <f t="shared" si="22"/>
        <v>#DIV/0!</v>
      </c>
      <c r="AX21" s="20" t="e">
        <f t="shared" si="22"/>
        <v>#DIV/0!</v>
      </c>
      <c r="AY21" s="20" t="e">
        <f t="shared" si="22"/>
        <v>#DIV/0!</v>
      </c>
      <c r="AZ21" s="20" t="e">
        <f t="shared" si="22"/>
        <v>#DIV/0!</v>
      </c>
      <c r="BA21" s="20" t="e">
        <f t="shared" si="22"/>
        <v>#DIV/0!</v>
      </c>
      <c r="BB21" s="20" t="e">
        <f t="shared" si="22"/>
        <v>#DIV/0!</v>
      </c>
      <c r="BC21" s="20" t="e">
        <f t="shared" si="22"/>
        <v>#DIV/0!</v>
      </c>
      <c r="BD21" s="20" t="e">
        <f t="shared" si="22"/>
        <v>#DIV/0!</v>
      </c>
      <c r="BE21" s="20" t="e">
        <f t="shared" si="22"/>
        <v>#DIV/0!</v>
      </c>
      <c r="BF21" s="20" t="e">
        <f t="shared" si="22"/>
        <v>#DIV/0!</v>
      </c>
      <c r="BG21" s="20" t="e">
        <f t="shared" si="22"/>
        <v>#DIV/0!</v>
      </c>
      <c r="BH21" s="20" t="e">
        <f t="shared" si="22"/>
        <v>#DIV/0!</v>
      </c>
      <c r="BI21" s="20" t="e">
        <f t="shared" si="22"/>
        <v>#DIV/0!</v>
      </c>
      <c r="BJ21" s="20" t="e">
        <f t="shared" si="22"/>
        <v>#DIV/0!</v>
      </c>
      <c r="BK21" s="20" t="e">
        <f t="shared" si="22"/>
        <v>#DIV/0!</v>
      </c>
      <c r="BL21" s="20" t="e">
        <f t="shared" si="22"/>
        <v>#DIV/0!</v>
      </c>
      <c r="BM21" s="20" t="e">
        <f t="shared" si="22"/>
        <v>#DIV/0!</v>
      </c>
      <c r="BN21" s="20" t="e">
        <f t="shared" si="22"/>
        <v>#DIV/0!</v>
      </c>
      <c r="BO21" s="20" t="e">
        <f t="shared" si="22"/>
        <v>#DIV/0!</v>
      </c>
      <c r="BP21" s="20" t="e">
        <f t="shared" si="22"/>
        <v>#DIV/0!</v>
      </c>
      <c r="BQ21" s="20" t="e">
        <f t="shared" si="22"/>
        <v>#DIV/0!</v>
      </c>
      <c r="BR21" s="20" t="e">
        <f t="shared" si="22"/>
        <v>#DIV/0!</v>
      </c>
      <c r="BS21" s="20" t="e">
        <f t="shared" si="22"/>
        <v>#DIV/0!</v>
      </c>
      <c r="BT21" s="20" t="e">
        <f t="shared" si="22"/>
        <v>#DIV/0!</v>
      </c>
      <c r="BU21" s="20" t="e">
        <f t="shared" si="22"/>
        <v>#DIV/0!</v>
      </c>
      <c r="BV21" s="20" t="e">
        <f t="shared" si="22"/>
        <v>#DIV/0!</v>
      </c>
      <c r="BW21" s="20" t="e">
        <f t="shared" si="22"/>
        <v>#DIV/0!</v>
      </c>
      <c r="BX21" s="20" t="e">
        <f t="shared" si="22"/>
        <v>#DIV/0!</v>
      </c>
      <c r="BY21" s="20" t="e">
        <f t="shared" si="22"/>
        <v>#DIV/0!</v>
      </c>
      <c r="BZ21" s="20" t="e">
        <f t="shared" si="22"/>
        <v>#DIV/0!</v>
      </c>
      <c r="CA21" s="20" t="e">
        <f t="shared" si="22"/>
        <v>#DIV/0!</v>
      </c>
      <c r="CB21" s="20" t="e">
        <f t="shared" si="22"/>
        <v>#DIV/0!</v>
      </c>
      <c r="CC21" s="20" t="e">
        <f t="shared" si="22"/>
        <v>#DIV/0!</v>
      </c>
      <c r="CD21" s="20" t="e">
        <f t="shared" si="22"/>
        <v>#DIV/0!</v>
      </c>
      <c r="CE21" s="20" t="e">
        <f t="shared" si="22"/>
        <v>#DIV/0!</v>
      </c>
      <c r="CF21" s="20" t="e">
        <f t="shared" si="22"/>
        <v>#DIV/0!</v>
      </c>
      <c r="CG21" s="20" t="e">
        <f t="shared" si="22"/>
        <v>#DIV/0!</v>
      </c>
      <c r="CH21" s="20" t="e">
        <f t="shared" si="22"/>
        <v>#DIV/0!</v>
      </c>
      <c r="CI21" s="20" t="e">
        <f t="shared" si="22"/>
        <v>#DIV/0!</v>
      </c>
      <c r="CJ21" s="20" t="e">
        <f t="shared" si="22"/>
        <v>#DIV/0!</v>
      </c>
      <c r="CK21" s="20" t="e">
        <f t="shared" si="22"/>
        <v>#DIV/0!</v>
      </c>
      <c r="CL21" s="20" t="e">
        <f t="shared" si="22"/>
        <v>#DIV/0!</v>
      </c>
      <c r="CM21" s="20" t="e">
        <f t="shared" si="22"/>
        <v>#DIV/0!</v>
      </c>
      <c r="CN21" s="20" t="e">
        <f t="shared" si="22"/>
        <v>#DIV/0!</v>
      </c>
      <c r="CO21" s="20" t="e">
        <f t="shared" si="22"/>
        <v>#DIV/0!</v>
      </c>
      <c r="CP21" s="20" t="e">
        <f t="shared" si="22"/>
        <v>#DIV/0!</v>
      </c>
      <c r="CQ21" s="20" t="e">
        <f t="shared" si="22"/>
        <v>#DIV/0!</v>
      </c>
      <c r="CR21" s="20" t="e">
        <f t="shared" si="22"/>
        <v>#DIV/0!</v>
      </c>
      <c r="CS21" s="20" t="e">
        <f t="shared" si="22"/>
        <v>#DIV/0!</v>
      </c>
      <c r="CT21" s="20" t="e">
        <f t="shared" si="22"/>
        <v>#DIV/0!</v>
      </c>
      <c r="CU21" s="20" t="e">
        <f t="shared" si="22"/>
        <v>#DIV/0!</v>
      </c>
      <c r="CV21" s="20" t="e">
        <f t="shared" si="22"/>
        <v>#DIV/0!</v>
      </c>
      <c r="CW21" s="20" t="e">
        <f t="shared" si="22"/>
        <v>#DIV/0!</v>
      </c>
      <c r="CX21" s="20" t="e">
        <f t="shared" si="22"/>
        <v>#DIV/0!</v>
      </c>
      <c r="CY21" s="20" t="e">
        <f t="shared" si="22"/>
        <v>#DIV/0!</v>
      </c>
      <c r="CZ21" s="20" t="e">
        <f t="shared" si="22"/>
        <v>#DIV/0!</v>
      </c>
      <c r="DA21" s="20" t="e">
        <f t="shared" si="22"/>
        <v>#DIV/0!</v>
      </c>
      <c r="DB21" s="20" t="e">
        <f t="shared" si="22"/>
        <v>#DIV/0!</v>
      </c>
      <c r="DC21" s="20" t="e">
        <f t="shared" si="22"/>
        <v>#DIV/0!</v>
      </c>
      <c r="DD21" s="20" t="e">
        <f t="shared" si="22"/>
        <v>#DIV/0!</v>
      </c>
      <c r="DE21" s="20" t="e">
        <f t="shared" ref="DE21:EY21" si="23">DE18/DE17</f>
        <v>#DIV/0!</v>
      </c>
      <c r="DF21" s="20" t="e">
        <f t="shared" si="23"/>
        <v>#DIV/0!</v>
      </c>
      <c r="DG21" s="20" t="e">
        <f t="shared" si="23"/>
        <v>#DIV/0!</v>
      </c>
      <c r="DH21" s="20" t="e">
        <f t="shared" si="23"/>
        <v>#DIV/0!</v>
      </c>
      <c r="DI21" s="20" t="e">
        <f t="shared" si="23"/>
        <v>#DIV/0!</v>
      </c>
      <c r="DJ21" s="20" t="e">
        <f t="shared" si="23"/>
        <v>#DIV/0!</v>
      </c>
      <c r="DK21" s="20" t="e">
        <f t="shared" si="23"/>
        <v>#DIV/0!</v>
      </c>
      <c r="DL21" s="20" t="e">
        <f t="shared" si="23"/>
        <v>#DIV/0!</v>
      </c>
      <c r="DM21" s="20" t="e">
        <f t="shared" si="23"/>
        <v>#DIV/0!</v>
      </c>
      <c r="DN21" s="20" t="e">
        <f t="shared" si="23"/>
        <v>#DIV/0!</v>
      </c>
      <c r="DO21" s="20" t="e">
        <f t="shared" si="23"/>
        <v>#DIV/0!</v>
      </c>
      <c r="DP21" s="20" t="e">
        <f t="shared" si="23"/>
        <v>#DIV/0!</v>
      </c>
      <c r="DQ21" s="20" t="e">
        <f t="shared" si="23"/>
        <v>#DIV/0!</v>
      </c>
      <c r="DR21" s="20" t="e">
        <f t="shared" si="23"/>
        <v>#DIV/0!</v>
      </c>
      <c r="DS21" s="20" t="e">
        <f t="shared" si="23"/>
        <v>#DIV/0!</v>
      </c>
      <c r="DT21" s="20" t="e">
        <f t="shared" si="23"/>
        <v>#DIV/0!</v>
      </c>
      <c r="DU21" s="20" t="e">
        <f t="shared" si="23"/>
        <v>#DIV/0!</v>
      </c>
      <c r="DV21" s="20" t="e">
        <f t="shared" si="23"/>
        <v>#DIV/0!</v>
      </c>
      <c r="DW21" s="20" t="e">
        <f t="shared" si="23"/>
        <v>#DIV/0!</v>
      </c>
      <c r="DX21" s="20" t="e">
        <f t="shared" si="23"/>
        <v>#DIV/0!</v>
      </c>
      <c r="DY21" s="20" t="e">
        <f t="shared" si="23"/>
        <v>#DIV/0!</v>
      </c>
      <c r="DZ21" s="20" t="e">
        <f t="shared" si="23"/>
        <v>#DIV/0!</v>
      </c>
      <c r="EA21" s="20" t="e">
        <f t="shared" si="23"/>
        <v>#DIV/0!</v>
      </c>
      <c r="EB21" s="20" t="e">
        <f t="shared" si="23"/>
        <v>#DIV/0!</v>
      </c>
      <c r="EC21" s="20" t="e">
        <f t="shared" si="23"/>
        <v>#DIV/0!</v>
      </c>
      <c r="ED21" s="20" t="e">
        <f t="shared" si="23"/>
        <v>#DIV/0!</v>
      </c>
      <c r="EE21" s="20" t="e">
        <f t="shared" si="23"/>
        <v>#DIV/0!</v>
      </c>
      <c r="EF21" s="20" t="e">
        <f t="shared" si="23"/>
        <v>#DIV/0!</v>
      </c>
      <c r="EG21" s="20" t="e">
        <f t="shared" si="23"/>
        <v>#DIV/0!</v>
      </c>
      <c r="EH21" s="20" t="e">
        <f t="shared" si="23"/>
        <v>#DIV/0!</v>
      </c>
      <c r="EI21" s="20" t="e">
        <f t="shared" si="23"/>
        <v>#DIV/0!</v>
      </c>
      <c r="EJ21" s="20" t="e">
        <f t="shared" si="23"/>
        <v>#DIV/0!</v>
      </c>
      <c r="EK21" s="20" t="e">
        <f t="shared" si="23"/>
        <v>#DIV/0!</v>
      </c>
      <c r="EL21" s="20" t="e">
        <f t="shared" si="23"/>
        <v>#DIV/0!</v>
      </c>
      <c r="EM21" s="20" t="e">
        <f t="shared" si="23"/>
        <v>#DIV/0!</v>
      </c>
      <c r="EN21" s="20" t="e">
        <f t="shared" si="23"/>
        <v>#DIV/0!</v>
      </c>
      <c r="EO21" s="20" t="e">
        <f t="shared" si="23"/>
        <v>#DIV/0!</v>
      </c>
      <c r="EP21" s="20" t="e">
        <f t="shared" si="23"/>
        <v>#DIV/0!</v>
      </c>
      <c r="EQ21" s="20" t="e">
        <f t="shared" si="23"/>
        <v>#DIV/0!</v>
      </c>
      <c r="ER21" s="20" t="e">
        <f t="shared" si="23"/>
        <v>#DIV/0!</v>
      </c>
      <c r="ES21" s="20" t="e">
        <f t="shared" si="23"/>
        <v>#DIV/0!</v>
      </c>
      <c r="ET21" s="20" t="e">
        <f t="shared" si="23"/>
        <v>#DIV/0!</v>
      </c>
      <c r="EU21" s="20" t="e">
        <f t="shared" si="23"/>
        <v>#DIV/0!</v>
      </c>
      <c r="EV21" s="20" t="e">
        <f t="shared" si="23"/>
        <v>#DIV/0!</v>
      </c>
      <c r="EW21" s="20" t="e">
        <f t="shared" si="23"/>
        <v>#DIV/0!</v>
      </c>
      <c r="EX21" s="20" t="e">
        <f t="shared" si="23"/>
        <v>#DIV/0!</v>
      </c>
      <c r="EY21" s="20" t="e">
        <f t="shared" si="23"/>
        <v>#DIV/0!</v>
      </c>
    </row>
    <row r="22" spans="1:155" hidden="1" x14ac:dyDescent="0.3"/>
    <row r="23" spans="1:155" hidden="1" x14ac:dyDescent="0.3">
      <c r="A23" s="36"/>
      <c r="B23" s="36"/>
      <c r="C23" s="37"/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hidden="1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</row>
    <row r="25" spans="1:155" hidden="1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</row>
    <row r="26" spans="1:155" hidden="1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Y26" si="24">DE25</f>
        <v>0</v>
      </c>
      <c r="DF26" s="22">
        <f t="shared" si="24"/>
        <v>0</v>
      </c>
      <c r="DG26" s="22">
        <f t="shared" si="24"/>
        <v>0</v>
      </c>
      <c r="DH26" s="22">
        <f t="shared" si="24"/>
        <v>0</v>
      </c>
      <c r="DI26" s="22">
        <f t="shared" si="24"/>
        <v>0</v>
      </c>
      <c r="DJ26" s="22">
        <f t="shared" si="24"/>
        <v>0</v>
      </c>
      <c r="DK26" s="22">
        <f t="shared" si="24"/>
        <v>0</v>
      </c>
      <c r="DL26" s="22">
        <f t="shared" si="24"/>
        <v>0</v>
      </c>
      <c r="DM26" s="22">
        <f t="shared" si="24"/>
        <v>0</v>
      </c>
      <c r="DN26" s="22">
        <f t="shared" si="24"/>
        <v>0</v>
      </c>
      <c r="DO26" s="22">
        <f t="shared" si="24"/>
        <v>0</v>
      </c>
      <c r="DP26" s="22">
        <f t="shared" si="24"/>
        <v>0</v>
      </c>
      <c r="DQ26" s="22">
        <f t="shared" si="24"/>
        <v>0</v>
      </c>
      <c r="DR26" s="22">
        <f t="shared" si="24"/>
        <v>0</v>
      </c>
      <c r="DS26" s="22">
        <f t="shared" si="24"/>
        <v>0</v>
      </c>
      <c r="DT26" s="22">
        <f t="shared" si="24"/>
        <v>0</v>
      </c>
      <c r="DU26" s="22">
        <f t="shared" si="24"/>
        <v>0</v>
      </c>
      <c r="DV26" s="22">
        <f t="shared" si="24"/>
        <v>0</v>
      </c>
      <c r="DW26" s="22">
        <f t="shared" si="24"/>
        <v>0</v>
      </c>
      <c r="DX26" s="22">
        <f t="shared" si="24"/>
        <v>0</v>
      </c>
      <c r="DY26" s="22">
        <f t="shared" si="24"/>
        <v>0</v>
      </c>
      <c r="DZ26" s="22">
        <f t="shared" si="24"/>
        <v>0</v>
      </c>
      <c r="EA26" s="22">
        <f t="shared" si="24"/>
        <v>0</v>
      </c>
      <c r="EB26" s="22">
        <f t="shared" si="24"/>
        <v>0</v>
      </c>
      <c r="EC26" s="22">
        <f t="shared" si="24"/>
        <v>0</v>
      </c>
      <c r="ED26" s="22">
        <f t="shared" si="24"/>
        <v>0</v>
      </c>
      <c r="EE26" s="22">
        <f t="shared" si="24"/>
        <v>0</v>
      </c>
      <c r="EF26" s="22">
        <f t="shared" si="24"/>
        <v>0</v>
      </c>
      <c r="EG26" s="22">
        <f t="shared" si="24"/>
        <v>0</v>
      </c>
      <c r="EH26" s="22">
        <f t="shared" si="24"/>
        <v>0</v>
      </c>
      <c r="EI26" s="22">
        <f t="shared" si="24"/>
        <v>0</v>
      </c>
      <c r="EJ26" s="22">
        <f t="shared" si="24"/>
        <v>0</v>
      </c>
      <c r="EK26" s="22">
        <f t="shared" si="24"/>
        <v>0</v>
      </c>
      <c r="EL26" s="22">
        <f t="shared" si="24"/>
        <v>0</v>
      </c>
      <c r="EM26" s="22">
        <f t="shared" si="24"/>
        <v>0</v>
      </c>
      <c r="EN26" s="22">
        <f t="shared" si="24"/>
        <v>0</v>
      </c>
      <c r="EO26" s="22">
        <f t="shared" si="24"/>
        <v>0</v>
      </c>
      <c r="EP26" s="22">
        <f t="shared" si="24"/>
        <v>0</v>
      </c>
      <c r="EQ26" s="22">
        <f t="shared" si="24"/>
        <v>0</v>
      </c>
      <c r="ER26" s="22">
        <f t="shared" si="24"/>
        <v>0</v>
      </c>
      <c r="ES26" s="22">
        <f t="shared" si="24"/>
        <v>0</v>
      </c>
      <c r="ET26" s="22">
        <f t="shared" si="24"/>
        <v>0</v>
      </c>
      <c r="EU26" s="22">
        <f t="shared" si="24"/>
        <v>0</v>
      </c>
      <c r="EV26" s="22">
        <f t="shared" si="24"/>
        <v>0</v>
      </c>
      <c r="EW26" s="22">
        <f t="shared" si="24"/>
        <v>0</v>
      </c>
      <c r="EX26" s="22">
        <f t="shared" si="24"/>
        <v>0</v>
      </c>
      <c r="EY26" s="22">
        <f t="shared" si="24"/>
        <v>0</v>
      </c>
    </row>
    <row r="27" spans="1:155" hidden="1" x14ac:dyDescent="0.3">
      <c r="A27" s="36"/>
      <c r="B27" s="36"/>
      <c r="C27" s="38"/>
      <c r="D27" s="15" t="s">
        <v>16</v>
      </c>
      <c r="E27" s="19" t="e">
        <f t="shared" ref="E27:BP28" si="25">E25/E23</f>
        <v>#DIV/0!</v>
      </c>
      <c r="F27" s="19" t="e">
        <f t="shared" si="25"/>
        <v>#DIV/0!</v>
      </c>
      <c r="G27" s="19" t="e">
        <f t="shared" si="25"/>
        <v>#DIV/0!</v>
      </c>
      <c r="H27" s="19" t="e">
        <f t="shared" si="25"/>
        <v>#DIV/0!</v>
      </c>
      <c r="I27" s="19" t="e">
        <f t="shared" si="25"/>
        <v>#DIV/0!</v>
      </c>
      <c r="J27" s="19" t="e">
        <f t="shared" si="25"/>
        <v>#DIV/0!</v>
      </c>
      <c r="K27" s="19" t="e">
        <f t="shared" si="25"/>
        <v>#DIV/0!</v>
      </c>
      <c r="L27" s="19" t="e">
        <f t="shared" si="25"/>
        <v>#DIV/0!</v>
      </c>
      <c r="M27" s="19" t="e">
        <f t="shared" si="25"/>
        <v>#DIV/0!</v>
      </c>
      <c r="N27" s="19" t="e">
        <f t="shared" si="25"/>
        <v>#DIV/0!</v>
      </c>
      <c r="O27" s="19" t="e">
        <f t="shared" si="25"/>
        <v>#DIV/0!</v>
      </c>
      <c r="P27" s="19" t="e">
        <f t="shared" si="25"/>
        <v>#DIV/0!</v>
      </c>
      <c r="Q27" s="19" t="e">
        <f t="shared" si="25"/>
        <v>#DIV/0!</v>
      </c>
      <c r="R27" s="19" t="e">
        <f t="shared" si="25"/>
        <v>#DIV/0!</v>
      </c>
      <c r="S27" s="19" t="e">
        <f t="shared" si="25"/>
        <v>#DIV/0!</v>
      </c>
      <c r="T27" s="19" t="e">
        <f t="shared" si="25"/>
        <v>#DIV/0!</v>
      </c>
      <c r="U27" s="19" t="e">
        <f t="shared" si="25"/>
        <v>#DIV/0!</v>
      </c>
      <c r="V27" s="19" t="e">
        <f t="shared" si="25"/>
        <v>#DIV/0!</v>
      </c>
      <c r="W27" s="19" t="e">
        <f t="shared" si="25"/>
        <v>#DIV/0!</v>
      </c>
      <c r="X27" s="19" t="e">
        <f t="shared" si="25"/>
        <v>#DIV/0!</v>
      </c>
      <c r="Y27" s="19" t="e">
        <f t="shared" si="25"/>
        <v>#DIV/0!</v>
      </c>
      <c r="Z27" s="19" t="e">
        <f t="shared" si="25"/>
        <v>#DIV/0!</v>
      </c>
      <c r="AA27" s="19" t="e">
        <f t="shared" si="25"/>
        <v>#DIV/0!</v>
      </c>
      <c r="AB27" s="19" t="e">
        <f t="shared" si="25"/>
        <v>#DIV/0!</v>
      </c>
      <c r="AC27" s="19" t="e">
        <f t="shared" si="25"/>
        <v>#DIV/0!</v>
      </c>
      <c r="AD27" s="19" t="e">
        <f t="shared" si="25"/>
        <v>#DIV/0!</v>
      </c>
      <c r="AE27" s="19" t="e">
        <f t="shared" si="25"/>
        <v>#DIV/0!</v>
      </c>
      <c r="AF27" s="19" t="e">
        <f t="shared" si="25"/>
        <v>#DIV/0!</v>
      </c>
      <c r="AG27" s="19" t="e">
        <f t="shared" si="25"/>
        <v>#DIV/0!</v>
      </c>
      <c r="AH27" s="19" t="e">
        <f t="shared" si="25"/>
        <v>#DIV/0!</v>
      </c>
      <c r="AI27" s="19" t="e">
        <f t="shared" si="25"/>
        <v>#DIV/0!</v>
      </c>
      <c r="AJ27" s="19" t="e">
        <f t="shared" si="25"/>
        <v>#DIV/0!</v>
      </c>
      <c r="AK27" s="19" t="e">
        <f t="shared" si="25"/>
        <v>#DIV/0!</v>
      </c>
      <c r="AL27" s="19" t="e">
        <f t="shared" si="25"/>
        <v>#DIV/0!</v>
      </c>
      <c r="AM27" s="19" t="e">
        <f t="shared" si="25"/>
        <v>#DIV/0!</v>
      </c>
      <c r="AN27" s="19" t="e">
        <f t="shared" si="25"/>
        <v>#DIV/0!</v>
      </c>
      <c r="AO27" s="19" t="e">
        <f t="shared" si="25"/>
        <v>#DIV/0!</v>
      </c>
      <c r="AP27" s="19" t="e">
        <f t="shared" si="25"/>
        <v>#DIV/0!</v>
      </c>
      <c r="AQ27" s="19" t="e">
        <f t="shared" si="25"/>
        <v>#DIV/0!</v>
      </c>
      <c r="AR27" s="19" t="e">
        <f t="shared" si="25"/>
        <v>#DIV/0!</v>
      </c>
      <c r="AS27" s="19" t="e">
        <f t="shared" si="25"/>
        <v>#DIV/0!</v>
      </c>
      <c r="AT27" s="19" t="e">
        <f t="shared" si="25"/>
        <v>#DIV/0!</v>
      </c>
      <c r="AU27" s="19" t="e">
        <f t="shared" si="25"/>
        <v>#DIV/0!</v>
      </c>
      <c r="AV27" s="19" t="e">
        <f t="shared" si="25"/>
        <v>#DIV/0!</v>
      </c>
      <c r="AW27" s="19" t="e">
        <f t="shared" si="25"/>
        <v>#DIV/0!</v>
      </c>
      <c r="AX27" s="19" t="e">
        <f t="shared" si="25"/>
        <v>#DIV/0!</v>
      </c>
      <c r="AY27" s="19" t="e">
        <f t="shared" si="25"/>
        <v>#DIV/0!</v>
      </c>
      <c r="AZ27" s="19" t="e">
        <f t="shared" si="25"/>
        <v>#DIV/0!</v>
      </c>
      <c r="BA27" s="19" t="e">
        <f t="shared" si="25"/>
        <v>#DIV/0!</v>
      </c>
      <c r="BB27" s="19" t="e">
        <f t="shared" si="25"/>
        <v>#DIV/0!</v>
      </c>
      <c r="BC27" s="19" t="e">
        <f t="shared" si="25"/>
        <v>#DIV/0!</v>
      </c>
      <c r="BD27" s="19" t="e">
        <f t="shared" si="25"/>
        <v>#DIV/0!</v>
      </c>
      <c r="BE27" s="19" t="e">
        <f t="shared" si="25"/>
        <v>#DIV/0!</v>
      </c>
      <c r="BF27" s="19" t="e">
        <f t="shared" si="25"/>
        <v>#DIV/0!</v>
      </c>
      <c r="BG27" s="19" t="e">
        <f t="shared" si="25"/>
        <v>#DIV/0!</v>
      </c>
      <c r="BH27" s="19" t="e">
        <f t="shared" si="25"/>
        <v>#DIV/0!</v>
      </c>
      <c r="BI27" s="19" t="e">
        <f t="shared" si="25"/>
        <v>#DIV/0!</v>
      </c>
      <c r="BJ27" s="19" t="e">
        <f t="shared" si="25"/>
        <v>#DIV/0!</v>
      </c>
      <c r="BK27" s="19" t="e">
        <f t="shared" si="25"/>
        <v>#DIV/0!</v>
      </c>
      <c r="BL27" s="19" t="e">
        <f t="shared" si="25"/>
        <v>#DIV/0!</v>
      </c>
      <c r="BM27" s="19" t="e">
        <f t="shared" si="25"/>
        <v>#DIV/0!</v>
      </c>
      <c r="BN27" s="19" t="e">
        <f t="shared" si="25"/>
        <v>#DIV/0!</v>
      </c>
      <c r="BO27" s="19" t="e">
        <f t="shared" si="25"/>
        <v>#DIV/0!</v>
      </c>
      <c r="BP27" s="19" t="e">
        <f t="shared" si="25"/>
        <v>#DIV/0!</v>
      </c>
      <c r="BQ27" s="19" t="e">
        <f t="shared" ref="BQ27:EB27" si="26">BQ25/BQ23</f>
        <v>#DIV/0!</v>
      </c>
      <c r="BR27" s="19" t="e">
        <f t="shared" si="26"/>
        <v>#DIV/0!</v>
      </c>
      <c r="BS27" s="19" t="e">
        <f t="shared" si="26"/>
        <v>#DIV/0!</v>
      </c>
      <c r="BT27" s="19" t="e">
        <f t="shared" si="26"/>
        <v>#DIV/0!</v>
      </c>
      <c r="BU27" s="19" t="e">
        <f t="shared" si="26"/>
        <v>#DIV/0!</v>
      </c>
      <c r="BV27" s="19" t="e">
        <f t="shared" si="26"/>
        <v>#DIV/0!</v>
      </c>
      <c r="BW27" s="19" t="e">
        <f t="shared" si="26"/>
        <v>#DIV/0!</v>
      </c>
      <c r="BX27" s="19" t="e">
        <f t="shared" si="26"/>
        <v>#DIV/0!</v>
      </c>
      <c r="BY27" s="19" t="e">
        <f t="shared" si="26"/>
        <v>#DIV/0!</v>
      </c>
      <c r="BZ27" s="19" t="e">
        <f t="shared" si="26"/>
        <v>#DIV/0!</v>
      </c>
      <c r="CA27" s="19" t="e">
        <f t="shared" si="26"/>
        <v>#DIV/0!</v>
      </c>
      <c r="CB27" s="19" t="e">
        <f t="shared" si="26"/>
        <v>#DIV/0!</v>
      </c>
      <c r="CC27" s="19" t="e">
        <f t="shared" si="26"/>
        <v>#DIV/0!</v>
      </c>
      <c r="CD27" s="19" t="e">
        <f t="shared" si="26"/>
        <v>#DIV/0!</v>
      </c>
      <c r="CE27" s="19" t="e">
        <f t="shared" si="26"/>
        <v>#DIV/0!</v>
      </c>
      <c r="CF27" s="19" t="e">
        <f t="shared" si="26"/>
        <v>#DIV/0!</v>
      </c>
      <c r="CG27" s="19" t="e">
        <f t="shared" si="26"/>
        <v>#DIV/0!</v>
      </c>
      <c r="CH27" s="19" t="e">
        <f t="shared" si="26"/>
        <v>#DIV/0!</v>
      </c>
      <c r="CI27" s="19" t="e">
        <f t="shared" si="26"/>
        <v>#DIV/0!</v>
      </c>
      <c r="CJ27" s="19" t="e">
        <f t="shared" si="26"/>
        <v>#DIV/0!</v>
      </c>
      <c r="CK27" s="19" t="e">
        <f t="shared" si="26"/>
        <v>#DIV/0!</v>
      </c>
      <c r="CL27" s="19" t="e">
        <f t="shared" si="26"/>
        <v>#DIV/0!</v>
      </c>
      <c r="CM27" s="19" t="e">
        <f t="shared" si="26"/>
        <v>#DIV/0!</v>
      </c>
      <c r="CN27" s="19" t="e">
        <f t="shared" si="26"/>
        <v>#DIV/0!</v>
      </c>
      <c r="CO27" s="19" t="e">
        <f t="shared" si="26"/>
        <v>#DIV/0!</v>
      </c>
      <c r="CP27" s="19" t="e">
        <f t="shared" si="26"/>
        <v>#DIV/0!</v>
      </c>
      <c r="CQ27" s="19" t="e">
        <f t="shared" si="26"/>
        <v>#DIV/0!</v>
      </c>
      <c r="CR27" s="19" t="e">
        <f t="shared" si="26"/>
        <v>#DIV/0!</v>
      </c>
      <c r="CS27" s="19" t="e">
        <f t="shared" si="26"/>
        <v>#DIV/0!</v>
      </c>
      <c r="CT27" s="19" t="e">
        <f t="shared" si="26"/>
        <v>#DIV/0!</v>
      </c>
      <c r="CU27" s="19" t="e">
        <f t="shared" si="26"/>
        <v>#DIV/0!</v>
      </c>
      <c r="CV27" s="19" t="e">
        <f t="shared" si="26"/>
        <v>#DIV/0!</v>
      </c>
      <c r="CW27" s="19" t="e">
        <f t="shared" si="26"/>
        <v>#DIV/0!</v>
      </c>
      <c r="CX27" s="19" t="e">
        <f t="shared" si="26"/>
        <v>#DIV/0!</v>
      </c>
      <c r="CY27" s="19" t="e">
        <f t="shared" si="26"/>
        <v>#DIV/0!</v>
      </c>
      <c r="CZ27" s="19" t="e">
        <f t="shared" si="26"/>
        <v>#DIV/0!</v>
      </c>
      <c r="DA27" s="19" t="e">
        <f t="shared" si="26"/>
        <v>#DIV/0!</v>
      </c>
      <c r="DB27" s="19" t="e">
        <f t="shared" si="26"/>
        <v>#DIV/0!</v>
      </c>
      <c r="DC27" s="19" t="e">
        <f t="shared" si="26"/>
        <v>#DIV/0!</v>
      </c>
      <c r="DD27" s="19" t="e">
        <f t="shared" si="26"/>
        <v>#DIV/0!</v>
      </c>
      <c r="DE27" s="19" t="e">
        <f t="shared" si="26"/>
        <v>#DIV/0!</v>
      </c>
      <c r="DF27" s="19" t="e">
        <f t="shared" si="26"/>
        <v>#DIV/0!</v>
      </c>
      <c r="DG27" s="19" t="e">
        <f t="shared" si="26"/>
        <v>#DIV/0!</v>
      </c>
      <c r="DH27" s="19" t="e">
        <f t="shared" si="26"/>
        <v>#DIV/0!</v>
      </c>
      <c r="DI27" s="19" t="e">
        <f t="shared" si="26"/>
        <v>#DIV/0!</v>
      </c>
      <c r="DJ27" s="19" t="e">
        <f t="shared" si="26"/>
        <v>#DIV/0!</v>
      </c>
      <c r="DK27" s="19" t="e">
        <f t="shared" si="26"/>
        <v>#DIV/0!</v>
      </c>
      <c r="DL27" s="19" t="e">
        <f t="shared" si="26"/>
        <v>#DIV/0!</v>
      </c>
      <c r="DM27" s="19" t="e">
        <f t="shared" si="26"/>
        <v>#DIV/0!</v>
      </c>
      <c r="DN27" s="19" t="e">
        <f t="shared" si="26"/>
        <v>#DIV/0!</v>
      </c>
      <c r="DO27" s="19" t="e">
        <f t="shared" si="26"/>
        <v>#DIV/0!</v>
      </c>
      <c r="DP27" s="19" t="e">
        <f t="shared" si="26"/>
        <v>#DIV/0!</v>
      </c>
      <c r="DQ27" s="19" t="e">
        <f t="shared" si="26"/>
        <v>#DIV/0!</v>
      </c>
      <c r="DR27" s="19" t="e">
        <f t="shared" si="26"/>
        <v>#DIV/0!</v>
      </c>
      <c r="DS27" s="19" t="e">
        <f t="shared" si="26"/>
        <v>#DIV/0!</v>
      </c>
      <c r="DT27" s="19" t="e">
        <f t="shared" si="26"/>
        <v>#DIV/0!</v>
      </c>
      <c r="DU27" s="19" t="e">
        <f t="shared" si="26"/>
        <v>#DIV/0!</v>
      </c>
      <c r="DV27" s="19" t="e">
        <f t="shared" si="26"/>
        <v>#DIV/0!</v>
      </c>
      <c r="DW27" s="19" t="e">
        <f t="shared" si="26"/>
        <v>#DIV/0!</v>
      </c>
      <c r="DX27" s="19" t="e">
        <f t="shared" si="26"/>
        <v>#DIV/0!</v>
      </c>
      <c r="DY27" s="19" t="e">
        <f t="shared" si="26"/>
        <v>#DIV/0!</v>
      </c>
      <c r="DZ27" s="19" t="e">
        <f t="shared" si="26"/>
        <v>#DIV/0!</v>
      </c>
      <c r="EA27" s="19" t="e">
        <f t="shared" si="26"/>
        <v>#DIV/0!</v>
      </c>
      <c r="EB27" s="19" t="e">
        <f t="shared" si="26"/>
        <v>#DIV/0!</v>
      </c>
      <c r="EC27" s="19" t="e">
        <f t="shared" ref="EC27:EY27" si="27">EC25/EC23</f>
        <v>#DIV/0!</v>
      </c>
      <c r="ED27" s="19" t="e">
        <f t="shared" si="27"/>
        <v>#DIV/0!</v>
      </c>
      <c r="EE27" s="19" t="e">
        <f t="shared" si="27"/>
        <v>#DIV/0!</v>
      </c>
      <c r="EF27" s="19" t="e">
        <f t="shared" si="27"/>
        <v>#DIV/0!</v>
      </c>
      <c r="EG27" s="19" t="e">
        <f t="shared" si="27"/>
        <v>#DIV/0!</v>
      </c>
      <c r="EH27" s="19" t="e">
        <f t="shared" si="27"/>
        <v>#DIV/0!</v>
      </c>
      <c r="EI27" s="19" t="e">
        <f t="shared" si="27"/>
        <v>#DIV/0!</v>
      </c>
      <c r="EJ27" s="19" t="e">
        <f t="shared" si="27"/>
        <v>#DIV/0!</v>
      </c>
      <c r="EK27" s="19" t="e">
        <f t="shared" si="27"/>
        <v>#DIV/0!</v>
      </c>
      <c r="EL27" s="19" t="e">
        <f t="shared" si="27"/>
        <v>#DIV/0!</v>
      </c>
      <c r="EM27" s="19" t="e">
        <f t="shared" si="27"/>
        <v>#DIV/0!</v>
      </c>
      <c r="EN27" s="19" t="e">
        <f t="shared" si="27"/>
        <v>#DIV/0!</v>
      </c>
      <c r="EO27" s="19" t="e">
        <f t="shared" si="27"/>
        <v>#DIV/0!</v>
      </c>
      <c r="EP27" s="19" t="e">
        <f t="shared" si="27"/>
        <v>#DIV/0!</v>
      </c>
      <c r="EQ27" s="19" t="e">
        <f t="shared" si="27"/>
        <v>#DIV/0!</v>
      </c>
      <c r="ER27" s="19" t="e">
        <f t="shared" si="27"/>
        <v>#DIV/0!</v>
      </c>
      <c r="ES27" s="19" t="e">
        <f t="shared" si="27"/>
        <v>#DIV/0!</v>
      </c>
      <c r="ET27" s="19" t="e">
        <f t="shared" si="27"/>
        <v>#DIV/0!</v>
      </c>
      <c r="EU27" s="19" t="e">
        <f t="shared" si="27"/>
        <v>#DIV/0!</v>
      </c>
      <c r="EV27" s="19" t="e">
        <f t="shared" si="27"/>
        <v>#DIV/0!</v>
      </c>
      <c r="EW27" s="19" t="e">
        <f t="shared" si="27"/>
        <v>#DIV/0!</v>
      </c>
      <c r="EX27" s="19" t="e">
        <f t="shared" si="27"/>
        <v>#DIV/0!</v>
      </c>
      <c r="EY27" s="19" t="e">
        <f t="shared" si="27"/>
        <v>#DIV/0!</v>
      </c>
    </row>
    <row r="28" spans="1:155" hidden="1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28">F25/F24</f>
        <v>#DIV/0!</v>
      </c>
      <c r="G28" s="20" t="e">
        <f t="shared" si="28"/>
        <v>#DIV/0!</v>
      </c>
      <c r="H28" s="20" t="e">
        <f t="shared" si="28"/>
        <v>#DIV/0!</v>
      </c>
      <c r="I28" s="20" t="e">
        <f t="shared" si="28"/>
        <v>#DIV/0!</v>
      </c>
      <c r="J28" s="20" t="e">
        <f t="shared" si="28"/>
        <v>#DIV/0!</v>
      </c>
      <c r="K28" s="20" t="e">
        <f t="shared" si="28"/>
        <v>#DIV/0!</v>
      </c>
      <c r="L28" s="20" t="e">
        <f t="shared" si="28"/>
        <v>#DIV/0!</v>
      </c>
      <c r="M28" s="20" t="e">
        <f t="shared" si="28"/>
        <v>#DIV/0!</v>
      </c>
      <c r="N28" s="20" t="e">
        <f t="shared" si="28"/>
        <v>#DIV/0!</v>
      </c>
      <c r="O28" s="20" t="e">
        <f t="shared" si="28"/>
        <v>#DIV/0!</v>
      </c>
      <c r="P28" s="20" t="e">
        <f t="shared" si="28"/>
        <v>#DIV/0!</v>
      </c>
      <c r="Q28" s="20" t="e">
        <f t="shared" si="28"/>
        <v>#DIV/0!</v>
      </c>
      <c r="R28" s="20" t="e">
        <f t="shared" si="28"/>
        <v>#DIV/0!</v>
      </c>
      <c r="S28" s="20" t="e">
        <f t="shared" si="28"/>
        <v>#DIV/0!</v>
      </c>
      <c r="T28" s="20" t="e">
        <f t="shared" si="28"/>
        <v>#DIV/0!</v>
      </c>
      <c r="U28" s="20" t="e">
        <f t="shared" si="28"/>
        <v>#DIV/0!</v>
      </c>
      <c r="V28" s="20" t="e">
        <f t="shared" si="28"/>
        <v>#DIV/0!</v>
      </c>
      <c r="W28" s="20" t="e">
        <f t="shared" si="28"/>
        <v>#DIV/0!</v>
      </c>
      <c r="X28" s="20" t="e">
        <f t="shared" si="28"/>
        <v>#DIV/0!</v>
      </c>
      <c r="Y28" s="20" t="e">
        <f t="shared" si="28"/>
        <v>#DIV/0!</v>
      </c>
      <c r="Z28" s="20" t="e">
        <f t="shared" si="28"/>
        <v>#DIV/0!</v>
      </c>
      <c r="AA28" s="20" t="e">
        <f t="shared" si="28"/>
        <v>#DIV/0!</v>
      </c>
      <c r="AB28" s="20" t="e">
        <f>AB26/AB24</f>
        <v>#DIV/0!</v>
      </c>
      <c r="AC28" s="20" t="e">
        <f t="shared" si="25"/>
        <v>#DIV/0!</v>
      </c>
      <c r="AD28" s="20" t="e">
        <f t="shared" si="25"/>
        <v>#DIV/0!</v>
      </c>
      <c r="AE28" s="20" t="e">
        <f t="shared" si="25"/>
        <v>#DIV/0!</v>
      </c>
      <c r="AF28" s="20" t="e">
        <f t="shared" si="25"/>
        <v>#DIV/0!</v>
      </c>
      <c r="AG28" s="20" t="e">
        <f t="shared" si="25"/>
        <v>#DIV/0!</v>
      </c>
      <c r="AH28" s="20" t="e">
        <f t="shared" si="25"/>
        <v>#DIV/0!</v>
      </c>
      <c r="AI28" s="20" t="e">
        <f t="shared" si="25"/>
        <v>#DIV/0!</v>
      </c>
      <c r="AJ28" s="20" t="e">
        <f t="shared" si="25"/>
        <v>#DIV/0!</v>
      </c>
      <c r="AK28" s="20" t="e">
        <f t="shared" si="25"/>
        <v>#DIV/0!</v>
      </c>
      <c r="AL28" s="20" t="e">
        <f t="shared" si="25"/>
        <v>#DIV/0!</v>
      </c>
      <c r="AM28" s="20" t="e">
        <f>AM26/AM24</f>
        <v>#DIV/0!</v>
      </c>
      <c r="AN28" s="20" t="e">
        <f t="shared" si="25"/>
        <v>#DIV/0!</v>
      </c>
      <c r="AO28" s="20" t="e">
        <f t="shared" si="25"/>
        <v>#DIV/0!</v>
      </c>
      <c r="AP28" s="20" t="e">
        <f t="shared" si="25"/>
        <v>#DIV/0!</v>
      </c>
      <c r="AQ28" s="20" t="e">
        <f t="shared" si="25"/>
        <v>#DIV/0!</v>
      </c>
      <c r="AR28" s="20" t="e">
        <f t="shared" si="25"/>
        <v>#DIV/0!</v>
      </c>
      <c r="AS28" s="20" t="e">
        <f t="shared" ref="AS28:DD28" si="29">AS25/AS24</f>
        <v>#DIV/0!</v>
      </c>
      <c r="AT28" s="20" t="e">
        <f t="shared" si="29"/>
        <v>#DIV/0!</v>
      </c>
      <c r="AU28" s="20" t="e">
        <f t="shared" si="29"/>
        <v>#DIV/0!</v>
      </c>
      <c r="AV28" s="20" t="e">
        <f t="shared" si="29"/>
        <v>#DIV/0!</v>
      </c>
      <c r="AW28" s="20" t="e">
        <f t="shared" si="29"/>
        <v>#DIV/0!</v>
      </c>
      <c r="AX28" s="20" t="e">
        <f t="shared" si="29"/>
        <v>#DIV/0!</v>
      </c>
      <c r="AY28" s="20" t="e">
        <f t="shared" si="29"/>
        <v>#DIV/0!</v>
      </c>
      <c r="AZ28" s="20" t="e">
        <f t="shared" si="29"/>
        <v>#DIV/0!</v>
      </c>
      <c r="BA28" s="20" t="e">
        <f t="shared" si="29"/>
        <v>#DIV/0!</v>
      </c>
      <c r="BB28" s="20" t="e">
        <f t="shared" si="29"/>
        <v>#DIV/0!</v>
      </c>
      <c r="BC28" s="20" t="e">
        <f t="shared" si="29"/>
        <v>#DIV/0!</v>
      </c>
      <c r="BD28" s="20" t="e">
        <f t="shared" si="29"/>
        <v>#DIV/0!</v>
      </c>
      <c r="BE28" s="20" t="e">
        <f t="shared" si="29"/>
        <v>#DIV/0!</v>
      </c>
      <c r="BF28" s="20" t="e">
        <f t="shared" si="29"/>
        <v>#DIV/0!</v>
      </c>
      <c r="BG28" s="20" t="e">
        <f t="shared" si="29"/>
        <v>#DIV/0!</v>
      </c>
      <c r="BH28" s="20" t="e">
        <f t="shared" si="29"/>
        <v>#DIV/0!</v>
      </c>
      <c r="BI28" s="20" t="e">
        <f t="shared" si="29"/>
        <v>#DIV/0!</v>
      </c>
      <c r="BJ28" s="20" t="e">
        <f t="shared" si="29"/>
        <v>#DIV/0!</v>
      </c>
      <c r="BK28" s="20" t="e">
        <f t="shared" si="29"/>
        <v>#DIV/0!</v>
      </c>
      <c r="BL28" s="20" t="e">
        <f t="shared" si="29"/>
        <v>#DIV/0!</v>
      </c>
      <c r="BM28" s="20" t="e">
        <f t="shared" si="29"/>
        <v>#DIV/0!</v>
      </c>
      <c r="BN28" s="20" t="e">
        <f t="shared" si="29"/>
        <v>#DIV/0!</v>
      </c>
      <c r="BO28" s="20" t="e">
        <f t="shared" si="29"/>
        <v>#DIV/0!</v>
      </c>
      <c r="BP28" s="20" t="e">
        <f t="shared" si="29"/>
        <v>#DIV/0!</v>
      </c>
      <c r="BQ28" s="20" t="e">
        <f t="shared" si="29"/>
        <v>#DIV/0!</v>
      </c>
      <c r="BR28" s="20" t="e">
        <f t="shared" si="29"/>
        <v>#DIV/0!</v>
      </c>
      <c r="BS28" s="20" t="e">
        <f t="shared" si="29"/>
        <v>#DIV/0!</v>
      </c>
      <c r="BT28" s="20" t="e">
        <f t="shared" si="29"/>
        <v>#DIV/0!</v>
      </c>
      <c r="BU28" s="20" t="e">
        <f t="shared" si="29"/>
        <v>#DIV/0!</v>
      </c>
      <c r="BV28" s="20" t="e">
        <f t="shared" si="29"/>
        <v>#DIV/0!</v>
      </c>
      <c r="BW28" s="20" t="e">
        <f t="shared" si="29"/>
        <v>#DIV/0!</v>
      </c>
      <c r="BX28" s="20" t="e">
        <f t="shared" si="29"/>
        <v>#DIV/0!</v>
      </c>
      <c r="BY28" s="20" t="e">
        <f t="shared" si="29"/>
        <v>#DIV/0!</v>
      </c>
      <c r="BZ28" s="20" t="e">
        <f t="shared" si="29"/>
        <v>#DIV/0!</v>
      </c>
      <c r="CA28" s="20" t="e">
        <f t="shared" si="29"/>
        <v>#DIV/0!</v>
      </c>
      <c r="CB28" s="20" t="e">
        <f t="shared" si="29"/>
        <v>#DIV/0!</v>
      </c>
      <c r="CC28" s="20" t="e">
        <f t="shared" si="29"/>
        <v>#DIV/0!</v>
      </c>
      <c r="CD28" s="20" t="e">
        <f t="shared" si="29"/>
        <v>#DIV/0!</v>
      </c>
      <c r="CE28" s="20" t="e">
        <f t="shared" si="29"/>
        <v>#DIV/0!</v>
      </c>
      <c r="CF28" s="20" t="e">
        <f t="shared" si="29"/>
        <v>#DIV/0!</v>
      </c>
      <c r="CG28" s="20" t="e">
        <f t="shared" si="29"/>
        <v>#DIV/0!</v>
      </c>
      <c r="CH28" s="20" t="e">
        <f t="shared" si="29"/>
        <v>#DIV/0!</v>
      </c>
      <c r="CI28" s="20" t="e">
        <f t="shared" si="29"/>
        <v>#DIV/0!</v>
      </c>
      <c r="CJ28" s="20" t="e">
        <f t="shared" si="29"/>
        <v>#DIV/0!</v>
      </c>
      <c r="CK28" s="20" t="e">
        <f t="shared" si="29"/>
        <v>#DIV/0!</v>
      </c>
      <c r="CL28" s="20" t="e">
        <f t="shared" si="29"/>
        <v>#DIV/0!</v>
      </c>
      <c r="CM28" s="20" t="e">
        <f t="shared" si="29"/>
        <v>#DIV/0!</v>
      </c>
      <c r="CN28" s="20" t="e">
        <f t="shared" si="29"/>
        <v>#DIV/0!</v>
      </c>
      <c r="CO28" s="20" t="e">
        <f t="shared" si="29"/>
        <v>#DIV/0!</v>
      </c>
      <c r="CP28" s="20" t="e">
        <f t="shared" si="29"/>
        <v>#DIV/0!</v>
      </c>
      <c r="CQ28" s="20" t="e">
        <f t="shared" si="29"/>
        <v>#DIV/0!</v>
      </c>
      <c r="CR28" s="20" t="e">
        <f t="shared" si="29"/>
        <v>#DIV/0!</v>
      </c>
      <c r="CS28" s="20" t="e">
        <f t="shared" si="29"/>
        <v>#DIV/0!</v>
      </c>
      <c r="CT28" s="20" t="e">
        <f t="shared" si="29"/>
        <v>#DIV/0!</v>
      </c>
      <c r="CU28" s="20" t="e">
        <f t="shared" si="29"/>
        <v>#DIV/0!</v>
      </c>
      <c r="CV28" s="20" t="e">
        <f t="shared" si="29"/>
        <v>#DIV/0!</v>
      </c>
      <c r="CW28" s="20" t="e">
        <f t="shared" si="29"/>
        <v>#DIV/0!</v>
      </c>
      <c r="CX28" s="20" t="e">
        <f t="shared" si="29"/>
        <v>#DIV/0!</v>
      </c>
      <c r="CY28" s="20" t="e">
        <f t="shared" si="29"/>
        <v>#DIV/0!</v>
      </c>
      <c r="CZ28" s="20" t="e">
        <f t="shared" si="29"/>
        <v>#DIV/0!</v>
      </c>
      <c r="DA28" s="20" t="e">
        <f t="shared" si="29"/>
        <v>#DIV/0!</v>
      </c>
      <c r="DB28" s="20" t="e">
        <f t="shared" si="29"/>
        <v>#DIV/0!</v>
      </c>
      <c r="DC28" s="20" t="e">
        <f t="shared" si="29"/>
        <v>#DIV/0!</v>
      </c>
      <c r="DD28" s="20" t="e">
        <f t="shared" si="29"/>
        <v>#DIV/0!</v>
      </c>
      <c r="DE28" s="20" t="e">
        <f t="shared" ref="DE28:EY28" si="30">DE25/DE24</f>
        <v>#DIV/0!</v>
      </c>
      <c r="DF28" s="20" t="e">
        <f t="shared" si="30"/>
        <v>#DIV/0!</v>
      </c>
      <c r="DG28" s="20" t="e">
        <f t="shared" si="30"/>
        <v>#DIV/0!</v>
      </c>
      <c r="DH28" s="20" t="e">
        <f t="shared" si="30"/>
        <v>#DIV/0!</v>
      </c>
      <c r="DI28" s="20" t="e">
        <f t="shared" si="30"/>
        <v>#DIV/0!</v>
      </c>
      <c r="DJ28" s="20" t="e">
        <f t="shared" si="30"/>
        <v>#DIV/0!</v>
      </c>
      <c r="DK28" s="20" t="e">
        <f t="shared" si="30"/>
        <v>#DIV/0!</v>
      </c>
      <c r="DL28" s="20" t="e">
        <f t="shared" si="30"/>
        <v>#DIV/0!</v>
      </c>
      <c r="DM28" s="20" t="e">
        <f t="shared" si="30"/>
        <v>#DIV/0!</v>
      </c>
      <c r="DN28" s="20" t="e">
        <f t="shared" si="30"/>
        <v>#DIV/0!</v>
      </c>
      <c r="DO28" s="20" t="e">
        <f t="shared" si="30"/>
        <v>#DIV/0!</v>
      </c>
      <c r="DP28" s="20" t="e">
        <f t="shared" si="30"/>
        <v>#DIV/0!</v>
      </c>
      <c r="DQ28" s="20" t="e">
        <f t="shared" si="30"/>
        <v>#DIV/0!</v>
      </c>
      <c r="DR28" s="20" t="e">
        <f t="shared" si="30"/>
        <v>#DIV/0!</v>
      </c>
      <c r="DS28" s="20" t="e">
        <f t="shared" si="30"/>
        <v>#DIV/0!</v>
      </c>
      <c r="DT28" s="20" t="e">
        <f t="shared" si="30"/>
        <v>#DIV/0!</v>
      </c>
      <c r="DU28" s="20" t="e">
        <f t="shared" si="30"/>
        <v>#DIV/0!</v>
      </c>
      <c r="DV28" s="20" t="e">
        <f t="shared" si="30"/>
        <v>#DIV/0!</v>
      </c>
      <c r="DW28" s="20" t="e">
        <f t="shared" si="30"/>
        <v>#DIV/0!</v>
      </c>
      <c r="DX28" s="20" t="e">
        <f t="shared" si="30"/>
        <v>#DIV/0!</v>
      </c>
      <c r="DY28" s="20" t="e">
        <f t="shared" si="30"/>
        <v>#DIV/0!</v>
      </c>
      <c r="DZ28" s="20" t="e">
        <f t="shared" si="30"/>
        <v>#DIV/0!</v>
      </c>
      <c r="EA28" s="20" t="e">
        <f t="shared" si="30"/>
        <v>#DIV/0!</v>
      </c>
      <c r="EB28" s="20" t="e">
        <f t="shared" si="30"/>
        <v>#DIV/0!</v>
      </c>
      <c r="EC28" s="20" t="e">
        <f t="shared" si="30"/>
        <v>#DIV/0!</v>
      </c>
      <c r="ED28" s="20" t="e">
        <f t="shared" si="30"/>
        <v>#DIV/0!</v>
      </c>
      <c r="EE28" s="20" t="e">
        <f t="shared" si="30"/>
        <v>#DIV/0!</v>
      </c>
      <c r="EF28" s="20" t="e">
        <f t="shared" si="30"/>
        <v>#DIV/0!</v>
      </c>
      <c r="EG28" s="20" t="e">
        <f t="shared" si="30"/>
        <v>#DIV/0!</v>
      </c>
      <c r="EH28" s="20" t="e">
        <f t="shared" si="30"/>
        <v>#DIV/0!</v>
      </c>
      <c r="EI28" s="20" t="e">
        <f t="shared" si="30"/>
        <v>#DIV/0!</v>
      </c>
      <c r="EJ28" s="20" t="e">
        <f t="shared" si="30"/>
        <v>#DIV/0!</v>
      </c>
      <c r="EK28" s="20" t="e">
        <f t="shared" si="30"/>
        <v>#DIV/0!</v>
      </c>
      <c r="EL28" s="20" t="e">
        <f t="shared" si="30"/>
        <v>#DIV/0!</v>
      </c>
      <c r="EM28" s="20" t="e">
        <f t="shared" si="30"/>
        <v>#DIV/0!</v>
      </c>
      <c r="EN28" s="20" t="e">
        <f t="shared" si="30"/>
        <v>#DIV/0!</v>
      </c>
      <c r="EO28" s="20" t="e">
        <f t="shared" si="30"/>
        <v>#DIV/0!</v>
      </c>
      <c r="EP28" s="20" t="e">
        <f t="shared" si="30"/>
        <v>#DIV/0!</v>
      </c>
      <c r="EQ28" s="20" t="e">
        <f t="shared" si="30"/>
        <v>#DIV/0!</v>
      </c>
      <c r="ER28" s="20" t="e">
        <f t="shared" si="30"/>
        <v>#DIV/0!</v>
      </c>
      <c r="ES28" s="20" t="e">
        <f t="shared" si="30"/>
        <v>#DIV/0!</v>
      </c>
      <c r="ET28" s="20" t="e">
        <f t="shared" si="30"/>
        <v>#DIV/0!</v>
      </c>
      <c r="EU28" s="20" t="e">
        <f t="shared" si="30"/>
        <v>#DIV/0!</v>
      </c>
      <c r="EV28" s="20" t="e">
        <f t="shared" si="30"/>
        <v>#DIV/0!</v>
      </c>
      <c r="EW28" s="20" t="e">
        <f t="shared" si="30"/>
        <v>#DIV/0!</v>
      </c>
      <c r="EX28" s="20" t="e">
        <f t="shared" si="30"/>
        <v>#DIV/0!</v>
      </c>
      <c r="EY28" s="20" t="e">
        <f t="shared" si="30"/>
        <v>#DIV/0!</v>
      </c>
    </row>
    <row r="30" spans="1:155" x14ac:dyDescent="0.3">
      <c r="A30" s="36" t="s">
        <v>43</v>
      </c>
      <c r="B30" s="36" t="s">
        <v>42</v>
      </c>
      <c r="C30" s="37" t="s">
        <v>6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25</v>
      </c>
      <c r="BU30" s="16">
        <f t="shared" ref="BU30:EF33" si="31">BU2+BU9+BU16</f>
        <v>25</v>
      </c>
      <c r="BV30" s="16">
        <f t="shared" si="31"/>
        <v>25</v>
      </c>
      <c r="BW30" s="16">
        <f t="shared" si="31"/>
        <v>25</v>
      </c>
      <c r="BX30" s="16">
        <f t="shared" si="31"/>
        <v>25</v>
      </c>
      <c r="BY30" s="16">
        <f t="shared" si="31"/>
        <v>25</v>
      </c>
      <c r="BZ30" s="16">
        <f t="shared" si="31"/>
        <v>25</v>
      </c>
      <c r="CA30" s="16">
        <f t="shared" si="31"/>
        <v>25</v>
      </c>
      <c r="CB30" s="16">
        <f t="shared" si="31"/>
        <v>25</v>
      </c>
      <c r="CC30" s="16">
        <f t="shared" si="31"/>
        <v>25</v>
      </c>
      <c r="CD30" s="16">
        <f t="shared" si="31"/>
        <v>25</v>
      </c>
      <c r="CE30" s="16">
        <f t="shared" si="31"/>
        <v>25</v>
      </c>
      <c r="CF30" s="16">
        <f t="shared" si="31"/>
        <v>25</v>
      </c>
      <c r="CG30" s="16">
        <f t="shared" si="31"/>
        <v>25</v>
      </c>
      <c r="CH30" s="16">
        <f t="shared" si="31"/>
        <v>25</v>
      </c>
      <c r="CI30" s="16">
        <f t="shared" si="31"/>
        <v>25</v>
      </c>
      <c r="CJ30" s="16">
        <f t="shared" si="31"/>
        <v>25</v>
      </c>
      <c r="CK30" s="16">
        <f t="shared" si="31"/>
        <v>25</v>
      </c>
      <c r="CL30" s="16">
        <f t="shared" si="31"/>
        <v>25</v>
      </c>
      <c r="CM30" s="16">
        <f t="shared" si="31"/>
        <v>25</v>
      </c>
      <c r="CN30" s="16">
        <f t="shared" si="31"/>
        <v>25</v>
      </c>
      <c r="CO30" s="16">
        <f t="shared" si="31"/>
        <v>25</v>
      </c>
      <c r="CP30" s="16">
        <f t="shared" si="31"/>
        <v>25</v>
      </c>
      <c r="CQ30" s="16">
        <f t="shared" si="31"/>
        <v>25</v>
      </c>
      <c r="CR30" s="16">
        <f t="shared" si="31"/>
        <v>25</v>
      </c>
      <c r="CS30" s="16">
        <f t="shared" si="31"/>
        <v>25</v>
      </c>
      <c r="CT30" s="16">
        <f t="shared" si="31"/>
        <v>25</v>
      </c>
      <c r="CU30" s="16">
        <f t="shared" si="31"/>
        <v>25</v>
      </c>
      <c r="CV30" s="16">
        <f t="shared" si="31"/>
        <v>25</v>
      </c>
      <c r="CW30" s="16">
        <f t="shared" si="31"/>
        <v>25</v>
      </c>
      <c r="CX30" s="16">
        <f t="shared" si="31"/>
        <v>25</v>
      </c>
      <c r="CY30" s="16">
        <f t="shared" si="31"/>
        <v>25</v>
      </c>
      <c r="CZ30" s="16">
        <f t="shared" si="31"/>
        <v>25</v>
      </c>
      <c r="DA30" s="16">
        <f t="shared" si="31"/>
        <v>25</v>
      </c>
      <c r="DB30" s="16">
        <f t="shared" si="31"/>
        <v>25</v>
      </c>
      <c r="DC30" s="16">
        <f t="shared" si="31"/>
        <v>25</v>
      </c>
      <c r="DD30" s="16">
        <f t="shared" si="31"/>
        <v>25</v>
      </c>
      <c r="DE30" s="16">
        <f t="shared" si="31"/>
        <v>25</v>
      </c>
      <c r="DF30" s="16">
        <f t="shared" si="31"/>
        <v>54</v>
      </c>
      <c r="DG30" s="16">
        <f t="shared" si="31"/>
        <v>54</v>
      </c>
      <c r="DH30" s="16">
        <f t="shared" si="31"/>
        <v>54</v>
      </c>
      <c r="DI30" s="16">
        <f t="shared" si="31"/>
        <v>54</v>
      </c>
      <c r="DJ30" s="16">
        <f t="shared" si="31"/>
        <v>54</v>
      </c>
      <c r="DK30" s="16">
        <f t="shared" si="31"/>
        <v>54</v>
      </c>
      <c r="DL30" s="16">
        <f t="shared" si="31"/>
        <v>54</v>
      </c>
      <c r="DM30" s="16">
        <f t="shared" si="31"/>
        <v>54</v>
      </c>
      <c r="DN30" s="16">
        <f t="shared" si="31"/>
        <v>54</v>
      </c>
      <c r="DO30" s="16">
        <f t="shared" si="31"/>
        <v>54</v>
      </c>
      <c r="DP30" s="16">
        <f t="shared" si="31"/>
        <v>54</v>
      </c>
      <c r="DQ30" s="16">
        <f t="shared" si="31"/>
        <v>54</v>
      </c>
      <c r="DR30" s="16">
        <f t="shared" si="31"/>
        <v>54</v>
      </c>
      <c r="DS30" s="16">
        <f t="shared" si="31"/>
        <v>54</v>
      </c>
      <c r="DT30" s="16">
        <f t="shared" si="31"/>
        <v>54</v>
      </c>
      <c r="DU30" s="16">
        <f t="shared" si="31"/>
        <v>54</v>
      </c>
      <c r="DV30" s="16">
        <f t="shared" si="31"/>
        <v>54</v>
      </c>
      <c r="DW30" s="16">
        <f t="shared" si="31"/>
        <v>54</v>
      </c>
      <c r="DX30" s="16">
        <f t="shared" si="31"/>
        <v>54</v>
      </c>
      <c r="DY30" s="16">
        <f t="shared" si="31"/>
        <v>54</v>
      </c>
      <c r="DZ30" s="16">
        <f t="shared" si="31"/>
        <v>54</v>
      </c>
      <c r="EA30" s="16">
        <f t="shared" si="31"/>
        <v>54</v>
      </c>
      <c r="EB30" s="16">
        <f t="shared" si="31"/>
        <v>54</v>
      </c>
      <c r="EC30" s="16">
        <f t="shared" si="31"/>
        <v>54</v>
      </c>
      <c r="ED30" s="16">
        <f t="shared" si="31"/>
        <v>54</v>
      </c>
      <c r="EE30" s="16">
        <f t="shared" si="31"/>
        <v>54</v>
      </c>
      <c r="EF30" s="16">
        <f t="shared" si="31"/>
        <v>54</v>
      </c>
      <c r="EG30" s="16">
        <f t="shared" ref="EG30:EY33" si="32">EG2+EG9+EG16</f>
        <v>54</v>
      </c>
      <c r="EH30" s="16">
        <f t="shared" si="32"/>
        <v>54</v>
      </c>
      <c r="EI30" s="16">
        <f t="shared" si="32"/>
        <v>54</v>
      </c>
      <c r="EJ30" s="16">
        <f t="shared" si="32"/>
        <v>54</v>
      </c>
      <c r="EK30" s="16">
        <f t="shared" si="32"/>
        <v>54</v>
      </c>
      <c r="EL30" s="16">
        <f t="shared" si="32"/>
        <v>54</v>
      </c>
      <c r="EM30" s="16">
        <f t="shared" si="32"/>
        <v>54</v>
      </c>
      <c r="EN30" s="16">
        <f t="shared" si="32"/>
        <v>54</v>
      </c>
      <c r="EO30" s="16">
        <f t="shared" si="32"/>
        <v>54</v>
      </c>
      <c r="EP30" s="16">
        <f t="shared" si="32"/>
        <v>54</v>
      </c>
      <c r="EQ30" s="16">
        <f t="shared" si="32"/>
        <v>54</v>
      </c>
      <c r="ER30" s="16">
        <f t="shared" si="32"/>
        <v>54</v>
      </c>
      <c r="ES30" s="16">
        <f t="shared" si="32"/>
        <v>54</v>
      </c>
      <c r="ET30" s="16">
        <f t="shared" si="32"/>
        <v>54</v>
      </c>
      <c r="EU30" s="16">
        <f t="shared" si="32"/>
        <v>54</v>
      </c>
      <c r="EV30" s="16">
        <f t="shared" si="32"/>
        <v>54</v>
      </c>
      <c r="EW30" s="16">
        <f t="shared" si="32"/>
        <v>54</v>
      </c>
      <c r="EX30" s="16">
        <f t="shared" si="32"/>
        <v>54</v>
      </c>
      <c r="EY30" s="16">
        <f t="shared" si="32"/>
        <v>54</v>
      </c>
    </row>
    <row r="31" spans="1:155" x14ac:dyDescent="0.3">
      <c r="A31" s="36"/>
      <c r="B31" s="36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53</v>
      </c>
      <c r="BU31" s="17">
        <f t="shared" si="31"/>
        <v>53</v>
      </c>
      <c r="BV31" s="17">
        <f t="shared" si="31"/>
        <v>52</v>
      </c>
      <c r="BW31" s="21">
        <f t="shared" si="31"/>
        <v>52</v>
      </c>
      <c r="BX31" s="21">
        <f t="shared" si="31"/>
        <v>39</v>
      </c>
      <c r="BY31" s="21">
        <f t="shared" si="31"/>
        <v>30</v>
      </c>
      <c r="BZ31" s="21">
        <f t="shared" si="31"/>
        <v>30</v>
      </c>
      <c r="CA31" s="21">
        <f t="shared" si="31"/>
        <v>30</v>
      </c>
      <c r="CB31" s="21">
        <f t="shared" si="31"/>
        <v>30</v>
      </c>
      <c r="CC31" s="21">
        <f t="shared" si="31"/>
        <v>30</v>
      </c>
      <c r="CD31" s="21">
        <f t="shared" si="31"/>
        <v>30</v>
      </c>
      <c r="CE31" s="21">
        <f t="shared" si="31"/>
        <v>30</v>
      </c>
      <c r="CF31" s="21">
        <f t="shared" si="31"/>
        <v>30</v>
      </c>
      <c r="CG31" s="21">
        <f t="shared" si="31"/>
        <v>30</v>
      </c>
      <c r="CH31" s="21">
        <f t="shared" si="31"/>
        <v>30</v>
      </c>
      <c r="CI31" s="21">
        <f t="shared" si="31"/>
        <v>42</v>
      </c>
      <c r="CJ31" s="21">
        <f t="shared" si="31"/>
        <v>30</v>
      </c>
      <c r="CK31" s="17">
        <f t="shared" si="31"/>
        <v>42</v>
      </c>
      <c r="CL31" s="17">
        <f t="shared" si="31"/>
        <v>42</v>
      </c>
      <c r="CM31" s="17">
        <f t="shared" si="31"/>
        <v>42</v>
      </c>
      <c r="CN31" s="17">
        <f t="shared" si="31"/>
        <v>42</v>
      </c>
      <c r="CO31" s="17">
        <f t="shared" si="31"/>
        <v>42</v>
      </c>
      <c r="CP31" s="17">
        <f t="shared" si="31"/>
        <v>42</v>
      </c>
      <c r="CQ31" s="17">
        <f t="shared" si="31"/>
        <v>54</v>
      </c>
      <c r="CR31" s="17">
        <f t="shared" si="31"/>
        <v>54</v>
      </c>
      <c r="CS31" s="17">
        <f t="shared" si="31"/>
        <v>54</v>
      </c>
      <c r="CT31" s="17">
        <f t="shared" si="31"/>
        <v>54</v>
      </c>
      <c r="CU31" s="17">
        <f t="shared" si="31"/>
        <v>54</v>
      </c>
      <c r="CV31" s="17">
        <f t="shared" si="31"/>
        <v>54</v>
      </c>
      <c r="CW31" s="17">
        <f t="shared" si="31"/>
        <v>54</v>
      </c>
      <c r="CX31" s="17">
        <f t="shared" si="31"/>
        <v>54</v>
      </c>
      <c r="CY31" s="17">
        <f t="shared" si="31"/>
        <v>54</v>
      </c>
      <c r="CZ31" s="17">
        <f t="shared" si="31"/>
        <v>54</v>
      </c>
      <c r="DA31" s="17">
        <f t="shared" si="31"/>
        <v>54</v>
      </c>
      <c r="DB31" s="17">
        <f t="shared" si="31"/>
        <v>54</v>
      </c>
      <c r="DC31" s="17">
        <f t="shared" si="31"/>
        <v>54</v>
      </c>
      <c r="DD31" s="17">
        <f t="shared" si="31"/>
        <v>54</v>
      </c>
      <c r="DE31" s="17">
        <f>DE3+DE10+DE17+DE24</f>
        <v>54</v>
      </c>
      <c r="DF31" s="17">
        <f t="shared" ref="DF31:DT33" si="33">DF3+DF10+DF17+DF24</f>
        <v>54</v>
      </c>
      <c r="DG31" s="17">
        <f t="shared" si="33"/>
        <v>54</v>
      </c>
      <c r="DH31" s="17">
        <f t="shared" si="33"/>
        <v>54</v>
      </c>
      <c r="DI31" s="17">
        <f t="shared" si="33"/>
        <v>54</v>
      </c>
      <c r="DJ31" s="17">
        <f t="shared" si="33"/>
        <v>54</v>
      </c>
      <c r="DK31" s="17">
        <f t="shared" si="33"/>
        <v>54</v>
      </c>
      <c r="DL31" s="17">
        <f t="shared" si="33"/>
        <v>54</v>
      </c>
      <c r="DM31" s="17">
        <f t="shared" si="33"/>
        <v>54</v>
      </c>
      <c r="DN31" s="17">
        <f t="shared" si="33"/>
        <v>54</v>
      </c>
      <c r="DO31" s="17">
        <f t="shared" si="33"/>
        <v>54</v>
      </c>
      <c r="DP31" s="17">
        <f t="shared" si="33"/>
        <v>54</v>
      </c>
      <c r="DQ31" s="17">
        <f t="shared" si="33"/>
        <v>54</v>
      </c>
      <c r="DR31" s="17">
        <f t="shared" si="33"/>
        <v>54</v>
      </c>
      <c r="DS31" s="17">
        <f t="shared" si="33"/>
        <v>54</v>
      </c>
      <c r="DT31" s="17">
        <f t="shared" si="33"/>
        <v>54</v>
      </c>
      <c r="DU31" s="17">
        <f t="shared" si="31"/>
        <v>54</v>
      </c>
      <c r="DV31" s="17">
        <f t="shared" si="31"/>
        <v>54</v>
      </c>
      <c r="DW31" s="17">
        <f t="shared" si="31"/>
        <v>54</v>
      </c>
      <c r="DX31" s="17">
        <f t="shared" si="31"/>
        <v>54</v>
      </c>
      <c r="DY31" s="17">
        <f t="shared" si="31"/>
        <v>54</v>
      </c>
      <c r="DZ31" s="17">
        <f t="shared" si="31"/>
        <v>54</v>
      </c>
      <c r="EA31" s="17">
        <f t="shared" si="31"/>
        <v>54</v>
      </c>
      <c r="EB31" s="17">
        <f t="shared" si="31"/>
        <v>54</v>
      </c>
      <c r="EC31" s="17">
        <f t="shared" si="31"/>
        <v>54</v>
      </c>
      <c r="ED31" s="17">
        <f t="shared" si="31"/>
        <v>54</v>
      </c>
      <c r="EE31" s="17">
        <f t="shared" si="31"/>
        <v>54</v>
      </c>
      <c r="EF31" s="17">
        <f t="shared" si="31"/>
        <v>54</v>
      </c>
      <c r="EG31" s="17">
        <f t="shared" si="32"/>
        <v>54</v>
      </c>
      <c r="EH31" s="17">
        <f t="shared" si="32"/>
        <v>54</v>
      </c>
      <c r="EI31" s="17">
        <f t="shared" si="32"/>
        <v>54</v>
      </c>
      <c r="EJ31" s="17">
        <f t="shared" si="32"/>
        <v>54</v>
      </c>
      <c r="EK31" s="17">
        <f t="shared" si="32"/>
        <v>54</v>
      </c>
      <c r="EL31" s="17">
        <f t="shared" si="32"/>
        <v>54</v>
      </c>
      <c r="EM31" s="17">
        <f t="shared" si="32"/>
        <v>54</v>
      </c>
      <c r="EN31" s="17">
        <f t="shared" si="32"/>
        <v>54</v>
      </c>
      <c r="EO31" s="17">
        <f t="shared" si="32"/>
        <v>54</v>
      </c>
      <c r="EP31" s="17">
        <f t="shared" si="32"/>
        <v>54</v>
      </c>
      <c r="EQ31" s="17">
        <f t="shared" si="32"/>
        <v>54</v>
      </c>
      <c r="ER31" s="17">
        <f t="shared" si="32"/>
        <v>54</v>
      </c>
      <c r="ES31" s="17">
        <f t="shared" si="32"/>
        <v>54</v>
      </c>
      <c r="ET31" s="17">
        <f t="shared" si="32"/>
        <v>54</v>
      </c>
      <c r="EU31" s="17">
        <f t="shared" si="32"/>
        <v>54</v>
      </c>
      <c r="EV31" s="17">
        <f t="shared" si="32"/>
        <v>54</v>
      </c>
      <c r="EW31" s="17">
        <f t="shared" si="32"/>
        <v>54</v>
      </c>
      <c r="EX31" s="17">
        <f t="shared" si="32"/>
        <v>54</v>
      </c>
      <c r="EY31" s="17">
        <f t="shared" si="32"/>
        <v>54</v>
      </c>
    </row>
    <row r="32" spans="1:155" x14ac:dyDescent="0.3">
      <c r="A32" s="36"/>
      <c r="B32" s="36"/>
      <c r="C32" s="38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54.04834865509023</v>
      </c>
      <c r="BU32" s="18">
        <f t="shared" si="31"/>
        <v>56.040170419963481</v>
      </c>
      <c r="BV32" s="18">
        <f t="shared" si="31"/>
        <v>60.513576235785571</v>
      </c>
      <c r="BW32" s="22">
        <f t="shared" si="31"/>
        <v>50.931447035193436</v>
      </c>
      <c r="BX32" s="22">
        <f t="shared" si="31"/>
        <v>48.931447035193436</v>
      </c>
      <c r="BY32" s="22">
        <f t="shared" si="31"/>
        <v>32.938076416337282</v>
      </c>
      <c r="BZ32" s="22">
        <f t="shared" si="31"/>
        <v>32.938076416337282</v>
      </c>
      <c r="CA32" s="22">
        <f t="shared" si="31"/>
        <v>32.938076416337282</v>
      </c>
      <c r="CB32" s="22">
        <f t="shared" si="31"/>
        <v>32.760032760032765</v>
      </c>
      <c r="CC32" s="22">
        <f t="shared" si="31"/>
        <v>32.760032760032765</v>
      </c>
      <c r="CD32" s="22">
        <f t="shared" si="31"/>
        <v>32.760032760032765</v>
      </c>
      <c r="CE32" s="22">
        <f t="shared" si="31"/>
        <v>32.760032760032765</v>
      </c>
      <c r="CF32" s="22">
        <f t="shared" si="31"/>
        <v>32.760032760032765</v>
      </c>
      <c r="CG32" s="22">
        <f t="shared" si="31"/>
        <v>32.760032760032765</v>
      </c>
      <c r="CH32" s="22">
        <f t="shared" si="31"/>
        <v>32.760032760032765</v>
      </c>
      <c r="CI32" s="22">
        <f t="shared" si="31"/>
        <v>32.760032760032765</v>
      </c>
      <c r="CJ32" s="22">
        <f t="shared" si="31"/>
        <v>32.760032760032765</v>
      </c>
      <c r="CK32" s="22">
        <f t="shared" si="31"/>
        <v>32.760032760032765</v>
      </c>
      <c r="CL32" s="22">
        <f t="shared" si="31"/>
        <v>45.79359418069096</v>
      </c>
      <c r="CM32" s="18">
        <f t="shared" si="31"/>
        <v>42</v>
      </c>
      <c r="CN32" s="18">
        <f t="shared" si="31"/>
        <v>42</v>
      </c>
      <c r="CO32" s="22">
        <f t="shared" si="31"/>
        <v>42</v>
      </c>
      <c r="CP32" s="22">
        <f t="shared" si="31"/>
        <v>42</v>
      </c>
      <c r="CQ32" s="22">
        <f t="shared" si="31"/>
        <v>54</v>
      </c>
      <c r="CR32" s="22">
        <f t="shared" si="31"/>
        <v>54</v>
      </c>
      <c r="CS32" s="22">
        <f t="shared" si="31"/>
        <v>54</v>
      </c>
      <c r="CT32" s="22">
        <f t="shared" si="31"/>
        <v>54</v>
      </c>
      <c r="CU32" s="22">
        <f t="shared" si="31"/>
        <v>54</v>
      </c>
      <c r="CV32" s="22">
        <f t="shared" si="31"/>
        <v>54</v>
      </c>
      <c r="CW32" s="22">
        <f t="shared" si="31"/>
        <v>54</v>
      </c>
      <c r="CX32" s="22">
        <f t="shared" si="31"/>
        <v>54</v>
      </c>
      <c r="CY32" s="22">
        <f t="shared" si="31"/>
        <v>54</v>
      </c>
      <c r="CZ32" s="22">
        <f t="shared" si="31"/>
        <v>54</v>
      </c>
      <c r="DA32" s="22">
        <f t="shared" si="31"/>
        <v>54</v>
      </c>
      <c r="DB32" s="22">
        <f t="shared" si="31"/>
        <v>54</v>
      </c>
      <c r="DC32" s="22">
        <f t="shared" si="31"/>
        <v>54</v>
      </c>
      <c r="DD32" s="22">
        <f t="shared" si="31"/>
        <v>54</v>
      </c>
      <c r="DE32" s="22">
        <f>DE4+DE11+DE18+DE25</f>
        <v>54</v>
      </c>
      <c r="DF32" s="22">
        <f t="shared" si="33"/>
        <v>54</v>
      </c>
      <c r="DG32" s="22">
        <f t="shared" si="33"/>
        <v>54</v>
      </c>
      <c r="DH32" s="22">
        <f t="shared" si="33"/>
        <v>54</v>
      </c>
      <c r="DI32" s="22">
        <f t="shared" si="33"/>
        <v>54</v>
      </c>
      <c r="DJ32" s="22">
        <f t="shared" si="33"/>
        <v>54</v>
      </c>
      <c r="DK32" s="22">
        <f t="shared" si="33"/>
        <v>54</v>
      </c>
      <c r="DL32" s="22">
        <f t="shared" si="33"/>
        <v>54</v>
      </c>
      <c r="DM32" s="22">
        <f t="shared" si="33"/>
        <v>54</v>
      </c>
      <c r="DN32" s="22">
        <f t="shared" si="33"/>
        <v>54</v>
      </c>
      <c r="DO32" s="22">
        <f t="shared" si="33"/>
        <v>54</v>
      </c>
      <c r="DP32" s="22">
        <f t="shared" si="33"/>
        <v>54</v>
      </c>
      <c r="DQ32" s="22">
        <f t="shared" si="33"/>
        <v>54</v>
      </c>
      <c r="DR32" s="22">
        <f t="shared" si="33"/>
        <v>54</v>
      </c>
      <c r="DS32" s="22">
        <f t="shared" si="33"/>
        <v>54</v>
      </c>
      <c r="DT32" s="22">
        <f t="shared" si="33"/>
        <v>54</v>
      </c>
      <c r="DU32" s="22">
        <f t="shared" si="31"/>
        <v>54</v>
      </c>
      <c r="DV32" s="22">
        <f t="shared" si="31"/>
        <v>54</v>
      </c>
      <c r="DW32" s="22">
        <f t="shared" si="31"/>
        <v>54</v>
      </c>
      <c r="DX32" s="22">
        <f t="shared" si="31"/>
        <v>54</v>
      </c>
      <c r="DY32" s="22">
        <f t="shared" si="31"/>
        <v>54</v>
      </c>
      <c r="DZ32" s="22">
        <f t="shared" si="31"/>
        <v>54</v>
      </c>
      <c r="EA32" s="22">
        <f t="shared" si="31"/>
        <v>58</v>
      </c>
      <c r="EB32" s="22">
        <f t="shared" si="31"/>
        <v>58</v>
      </c>
      <c r="EC32" s="22">
        <f t="shared" si="31"/>
        <v>53</v>
      </c>
      <c r="ED32" s="22">
        <f t="shared" si="31"/>
        <v>53</v>
      </c>
      <c r="EE32" s="22">
        <f t="shared" si="31"/>
        <v>53</v>
      </c>
      <c r="EF32" s="22">
        <f t="shared" si="31"/>
        <v>53</v>
      </c>
      <c r="EG32" s="22">
        <f t="shared" si="32"/>
        <v>53</v>
      </c>
      <c r="EH32" s="22">
        <f t="shared" si="32"/>
        <v>53</v>
      </c>
      <c r="EI32" s="22">
        <f t="shared" si="32"/>
        <v>53</v>
      </c>
      <c r="EJ32" s="22">
        <f t="shared" si="32"/>
        <v>53</v>
      </c>
      <c r="EK32" s="22">
        <f t="shared" si="32"/>
        <v>53</v>
      </c>
      <c r="EL32" s="22">
        <f t="shared" si="32"/>
        <v>53</v>
      </c>
      <c r="EM32" s="22">
        <f t="shared" si="32"/>
        <v>53</v>
      </c>
      <c r="EN32" s="22">
        <f t="shared" si="32"/>
        <v>53</v>
      </c>
      <c r="EO32" s="22">
        <f t="shared" si="32"/>
        <v>53</v>
      </c>
      <c r="EP32" s="22">
        <f t="shared" si="32"/>
        <v>53</v>
      </c>
      <c r="EQ32" s="22">
        <f t="shared" si="32"/>
        <v>53</v>
      </c>
      <c r="ER32" s="22">
        <f t="shared" si="32"/>
        <v>53</v>
      </c>
      <c r="ES32" s="22">
        <f t="shared" si="32"/>
        <v>53</v>
      </c>
      <c r="ET32" s="22">
        <f t="shared" si="32"/>
        <v>53</v>
      </c>
      <c r="EU32" s="22">
        <f t="shared" si="32"/>
        <v>54</v>
      </c>
      <c r="EV32" s="22">
        <f t="shared" si="32"/>
        <v>54</v>
      </c>
      <c r="EW32" s="22">
        <f t="shared" si="32"/>
        <v>54</v>
      </c>
      <c r="EX32" s="22">
        <f t="shared" si="32"/>
        <v>54</v>
      </c>
      <c r="EY32" s="22">
        <f t="shared" si="32"/>
        <v>54</v>
      </c>
    </row>
    <row r="33" spans="1:155" x14ac:dyDescent="0.3">
      <c r="A33" s="36"/>
      <c r="B33" s="36"/>
      <c r="C33" s="38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63.909090909090907</v>
      </c>
      <c r="BU33" s="18">
        <f t="shared" si="31"/>
        <v>60.772727272727273</v>
      </c>
      <c r="BV33" s="18">
        <f t="shared" si="31"/>
        <v>65.454545454545453</v>
      </c>
      <c r="BW33" s="22">
        <f t="shared" si="31"/>
        <v>58</v>
      </c>
      <c r="BX33" s="22">
        <f t="shared" si="31"/>
        <v>56</v>
      </c>
      <c r="BY33" s="22">
        <f t="shared" si="31"/>
        <v>38</v>
      </c>
      <c r="BZ33" s="22">
        <f t="shared" si="31"/>
        <v>37</v>
      </c>
      <c r="CA33" s="22">
        <f t="shared" si="31"/>
        <v>37</v>
      </c>
      <c r="CB33" s="22">
        <f t="shared" si="31"/>
        <v>36.629999999999995</v>
      </c>
      <c r="CC33" s="22">
        <f t="shared" si="31"/>
        <v>36.629999999999995</v>
      </c>
      <c r="CD33" s="22">
        <f t="shared" si="31"/>
        <v>36</v>
      </c>
      <c r="CE33" s="22">
        <f t="shared" si="31"/>
        <v>35</v>
      </c>
      <c r="CF33" s="22">
        <f t="shared" si="31"/>
        <v>35</v>
      </c>
      <c r="CG33" s="22">
        <f t="shared" si="31"/>
        <v>35</v>
      </c>
      <c r="CH33" s="22">
        <f t="shared" si="31"/>
        <v>34</v>
      </c>
      <c r="CI33" s="22">
        <f t="shared" si="31"/>
        <v>33</v>
      </c>
      <c r="CJ33" s="22">
        <f t="shared" si="31"/>
        <v>33</v>
      </c>
      <c r="CK33" s="22">
        <f t="shared" si="31"/>
        <v>36</v>
      </c>
      <c r="CL33" s="22">
        <f t="shared" si="31"/>
        <v>46</v>
      </c>
      <c r="CM33" s="18">
        <f t="shared" si="31"/>
        <v>48</v>
      </c>
      <c r="CN33" s="18">
        <f t="shared" si="31"/>
        <v>49</v>
      </c>
      <c r="CO33" s="22">
        <f t="shared" si="31"/>
        <v>49</v>
      </c>
      <c r="CP33" s="22">
        <f t="shared" si="31"/>
        <v>57</v>
      </c>
      <c r="CQ33" s="22">
        <f t="shared" si="31"/>
        <v>65</v>
      </c>
      <c r="CR33" s="22">
        <f t="shared" si="31"/>
        <v>66</v>
      </c>
      <c r="CS33" s="22">
        <f t="shared" si="31"/>
        <v>66</v>
      </c>
      <c r="CT33" s="22">
        <f t="shared" si="31"/>
        <v>66</v>
      </c>
      <c r="CU33" s="22">
        <f t="shared" si="31"/>
        <v>66</v>
      </c>
      <c r="CV33" s="22">
        <f t="shared" si="31"/>
        <v>63</v>
      </c>
      <c r="CW33" s="22">
        <f t="shared" si="31"/>
        <v>63</v>
      </c>
      <c r="CX33" s="22">
        <f t="shared" si="31"/>
        <v>63</v>
      </c>
      <c r="CY33" s="22">
        <f t="shared" si="31"/>
        <v>63</v>
      </c>
      <c r="CZ33" s="22">
        <f t="shared" si="31"/>
        <v>64</v>
      </c>
      <c r="DA33" s="22">
        <f t="shared" si="31"/>
        <v>61</v>
      </c>
      <c r="DB33" s="22">
        <f t="shared" si="31"/>
        <v>61</v>
      </c>
      <c r="DC33" s="22">
        <f t="shared" si="31"/>
        <v>61</v>
      </c>
      <c r="DD33" s="22">
        <f t="shared" si="31"/>
        <v>59</v>
      </c>
      <c r="DE33" s="22">
        <f>DE5+DE12+DE19+DE26</f>
        <v>60</v>
      </c>
      <c r="DF33" s="22">
        <f t="shared" si="33"/>
        <v>58.94736842105263</v>
      </c>
      <c r="DG33" s="22">
        <f t="shared" si="33"/>
        <v>57.89473684210526</v>
      </c>
      <c r="DH33" s="22">
        <f t="shared" si="33"/>
        <v>55.789473684210535</v>
      </c>
      <c r="DI33" s="22">
        <v>55.789473684210535</v>
      </c>
      <c r="DJ33" s="22">
        <v>55.789473684210535</v>
      </c>
      <c r="DK33" s="22">
        <v>54.810526315789474</v>
      </c>
      <c r="DL33" s="22">
        <v>54.810526315789474</v>
      </c>
      <c r="DM33" s="22">
        <v>60.865491373684208</v>
      </c>
      <c r="DN33" s="22">
        <v>58.691352762631581</v>
      </c>
      <c r="DO33" s="22">
        <v>57.770612179752632</v>
      </c>
      <c r="DP33" s="22">
        <v>56.370612179752634</v>
      </c>
      <c r="DQ33" s="22">
        <v>55.382756972254796</v>
      </c>
      <c r="DR33" s="22">
        <v>54.210651709096894</v>
      </c>
      <c r="DS33" s="22">
        <v>53.252432157823989</v>
      </c>
      <c r="DT33" s="22">
        <v>52.138932157823987</v>
      </c>
      <c r="DU33" s="22">
        <v>51.209459193089266</v>
      </c>
      <c r="DV33" s="22">
        <v>50.151634193089265</v>
      </c>
      <c r="DW33" s="22">
        <v>49.25004541729659</v>
      </c>
      <c r="DX33" s="22">
        <v>48.245111667296591</v>
      </c>
      <c r="DY33" s="22">
        <f t="shared" si="31"/>
        <v>55.789473684210535</v>
      </c>
      <c r="DZ33" s="22">
        <f t="shared" si="31"/>
        <v>55.789473684210535</v>
      </c>
      <c r="EA33" s="22">
        <f t="shared" si="31"/>
        <v>60</v>
      </c>
      <c r="EB33" s="22">
        <f t="shared" si="31"/>
        <v>59</v>
      </c>
      <c r="EC33" s="22">
        <f t="shared" si="31"/>
        <v>57</v>
      </c>
      <c r="ED33" s="22">
        <f t="shared" si="31"/>
        <v>57</v>
      </c>
      <c r="EE33" s="22">
        <f t="shared" si="31"/>
        <v>56</v>
      </c>
      <c r="EF33" s="22">
        <f t="shared" si="31"/>
        <v>54.599999999999994</v>
      </c>
      <c r="EG33" s="22">
        <f t="shared" si="32"/>
        <v>53.76</v>
      </c>
      <c r="EH33" s="22">
        <f t="shared" si="32"/>
        <v>52.43</v>
      </c>
      <c r="EI33" s="22">
        <f t="shared" si="32"/>
        <v>51.615200000000002</v>
      </c>
      <c r="EJ33" s="22">
        <f t="shared" si="32"/>
        <v>50.351700000000001</v>
      </c>
      <c r="EK33" s="22">
        <f t="shared" si="32"/>
        <v>49.561343999999998</v>
      </c>
      <c r="EL33" s="22">
        <f t="shared" si="32"/>
        <v>48.361018999999999</v>
      </c>
      <c r="EM33" s="22">
        <f t="shared" si="32"/>
        <v>47.594373680000004</v>
      </c>
      <c r="EN33" s="22">
        <f t="shared" si="32"/>
        <v>46.454064930000001</v>
      </c>
      <c r="EO33" s="22">
        <f t="shared" si="32"/>
        <v>45.710418969599999</v>
      </c>
      <c r="EP33" s="22">
        <f t="shared" si="32"/>
        <v>44.627125657100009</v>
      </c>
      <c r="EQ33" s="22">
        <f t="shared" si="32"/>
        <v>46.900231637762005</v>
      </c>
      <c r="ER33" s="22">
        <f t="shared" si="32"/>
        <v>45.571658734662009</v>
      </c>
      <c r="ES33" s="22">
        <f t="shared" si="32"/>
        <v>44.791112301340895</v>
      </c>
      <c r="ET33" s="22">
        <f t="shared" si="32"/>
        <v>43.813440086809635</v>
      </c>
      <c r="EU33" s="22">
        <f t="shared" si="32"/>
        <v>54</v>
      </c>
      <c r="EV33" s="22">
        <f t="shared" si="32"/>
        <v>54</v>
      </c>
      <c r="EW33" s="22">
        <f t="shared" si="32"/>
        <v>54</v>
      </c>
      <c r="EX33" s="22">
        <f t="shared" si="32"/>
        <v>54</v>
      </c>
      <c r="EY33" s="22">
        <f t="shared" si="32"/>
        <v>54</v>
      </c>
    </row>
    <row r="34" spans="1:155" x14ac:dyDescent="0.3">
      <c r="A34" s="36"/>
      <c r="B34" s="36"/>
      <c r="C34" s="38"/>
      <c r="D34" s="15" t="s">
        <v>16</v>
      </c>
      <c r="E34" s="19" t="e">
        <f t="shared" ref="E34:BP35" si="34">E32/E30</f>
        <v>#DIV/0!</v>
      </c>
      <c r="F34" s="19" t="e">
        <f t="shared" si="34"/>
        <v>#DIV/0!</v>
      </c>
      <c r="G34" s="19" t="e">
        <f t="shared" si="34"/>
        <v>#DIV/0!</v>
      </c>
      <c r="H34" s="19" t="e">
        <f t="shared" si="34"/>
        <v>#DIV/0!</v>
      </c>
      <c r="I34" s="19" t="e">
        <f t="shared" si="34"/>
        <v>#DIV/0!</v>
      </c>
      <c r="J34" s="19" t="e">
        <f t="shared" si="34"/>
        <v>#DIV/0!</v>
      </c>
      <c r="K34" s="19" t="e">
        <f t="shared" si="34"/>
        <v>#DIV/0!</v>
      </c>
      <c r="L34" s="19" t="e">
        <f t="shared" si="34"/>
        <v>#DIV/0!</v>
      </c>
      <c r="M34" s="19" t="e">
        <f t="shared" si="34"/>
        <v>#DIV/0!</v>
      </c>
      <c r="N34" s="19" t="e">
        <f t="shared" si="34"/>
        <v>#DIV/0!</v>
      </c>
      <c r="O34" s="19" t="e">
        <f t="shared" si="34"/>
        <v>#DIV/0!</v>
      </c>
      <c r="P34" s="19" t="e">
        <f t="shared" si="34"/>
        <v>#DIV/0!</v>
      </c>
      <c r="Q34" s="19" t="e">
        <f t="shared" si="34"/>
        <v>#DIV/0!</v>
      </c>
      <c r="R34" s="19" t="e">
        <f t="shared" si="34"/>
        <v>#DIV/0!</v>
      </c>
      <c r="S34" s="19" t="e">
        <f t="shared" si="34"/>
        <v>#DIV/0!</v>
      </c>
      <c r="T34" s="19" t="e">
        <f t="shared" si="34"/>
        <v>#DIV/0!</v>
      </c>
      <c r="U34" s="19" t="e">
        <f t="shared" si="34"/>
        <v>#DIV/0!</v>
      </c>
      <c r="V34" s="19" t="e">
        <f t="shared" si="34"/>
        <v>#DIV/0!</v>
      </c>
      <c r="W34" s="19" t="e">
        <f t="shared" si="34"/>
        <v>#DIV/0!</v>
      </c>
      <c r="X34" s="19" t="e">
        <f t="shared" si="34"/>
        <v>#DIV/0!</v>
      </c>
      <c r="Y34" s="19" t="e">
        <f t="shared" si="34"/>
        <v>#DIV/0!</v>
      </c>
      <c r="Z34" s="19" t="e">
        <f t="shared" si="34"/>
        <v>#DIV/0!</v>
      </c>
      <c r="AA34" s="19" t="e">
        <f t="shared" si="34"/>
        <v>#DIV/0!</v>
      </c>
      <c r="AB34" s="19" t="e">
        <f t="shared" si="34"/>
        <v>#DIV/0!</v>
      </c>
      <c r="AC34" s="19" t="e">
        <f t="shared" si="34"/>
        <v>#DIV/0!</v>
      </c>
      <c r="AD34" s="19" t="e">
        <f t="shared" si="34"/>
        <v>#DIV/0!</v>
      </c>
      <c r="AE34" s="19" t="e">
        <f t="shared" si="34"/>
        <v>#DIV/0!</v>
      </c>
      <c r="AF34" s="19" t="e">
        <f t="shared" si="34"/>
        <v>#DIV/0!</v>
      </c>
      <c r="AG34" s="19" t="e">
        <f t="shared" si="34"/>
        <v>#DIV/0!</v>
      </c>
      <c r="AH34" s="19" t="e">
        <f t="shared" si="34"/>
        <v>#DIV/0!</v>
      </c>
      <c r="AI34" s="19" t="e">
        <f t="shared" si="34"/>
        <v>#DIV/0!</v>
      </c>
      <c r="AJ34" s="19" t="e">
        <f t="shared" si="34"/>
        <v>#DIV/0!</v>
      </c>
      <c r="AK34" s="19" t="e">
        <f t="shared" si="34"/>
        <v>#DIV/0!</v>
      </c>
      <c r="AL34" s="19" t="e">
        <f t="shared" si="34"/>
        <v>#DIV/0!</v>
      </c>
      <c r="AM34" s="19" t="e">
        <f t="shared" si="34"/>
        <v>#DIV/0!</v>
      </c>
      <c r="AN34" s="19" t="e">
        <f t="shared" si="34"/>
        <v>#DIV/0!</v>
      </c>
      <c r="AO34" s="19" t="e">
        <f t="shared" si="34"/>
        <v>#DIV/0!</v>
      </c>
      <c r="AP34" s="19" t="e">
        <f t="shared" si="34"/>
        <v>#DIV/0!</v>
      </c>
      <c r="AQ34" s="19" t="e">
        <f t="shared" si="34"/>
        <v>#DIV/0!</v>
      </c>
      <c r="AR34" s="19" t="e">
        <f t="shared" si="34"/>
        <v>#DIV/0!</v>
      </c>
      <c r="AS34" s="19" t="e">
        <f t="shared" si="34"/>
        <v>#DIV/0!</v>
      </c>
      <c r="AT34" s="19" t="e">
        <f t="shared" si="34"/>
        <v>#DIV/0!</v>
      </c>
      <c r="AU34" s="19" t="e">
        <f t="shared" si="34"/>
        <v>#DIV/0!</v>
      </c>
      <c r="AV34" s="19" t="e">
        <f t="shared" si="34"/>
        <v>#DIV/0!</v>
      </c>
      <c r="AW34" s="19" t="e">
        <f t="shared" si="34"/>
        <v>#DIV/0!</v>
      </c>
      <c r="AX34" s="19" t="e">
        <f t="shared" si="34"/>
        <v>#DIV/0!</v>
      </c>
      <c r="AY34" s="19" t="e">
        <f t="shared" si="34"/>
        <v>#DIV/0!</v>
      </c>
      <c r="AZ34" s="19" t="e">
        <f t="shared" si="34"/>
        <v>#DIV/0!</v>
      </c>
      <c r="BA34" s="19" t="e">
        <f t="shared" si="34"/>
        <v>#DIV/0!</v>
      </c>
      <c r="BB34" s="19" t="e">
        <f t="shared" si="34"/>
        <v>#DIV/0!</v>
      </c>
      <c r="BC34" s="19" t="e">
        <f t="shared" si="34"/>
        <v>#DIV/0!</v>
      </c>
      <c r="BD34" s="19" t="e">
        <f t="shared" si="34"/>
        <v>#DIV/0!</v>
      </c>
      <c r="BE34" s="19" t="e">
        <f t="shared" si="34"/>
        <v>#DIV/0!</v>
      </c>
      <c r="BF34" s="19" t="e">
        <f t="shared" si="34"/>
        <v>#DIV/0!</v>
      </c>
      <c r="BG34" s="19" t="e">
        <f t="shared" si="34"/>
        <v>#DIV/0!</v>
      </c>
      <c r="BH34" s="19" t="e">
        <f t="shared" si="34"/>
        <v>#DIV/0!</v>
      </c>
      <c r="BI34" s="19" t="e">
        <f t="shared" si="34"/>
        <v>#DIV/0!</v>
      </c>
      <c r="BJ34" s="19" t="e">
        <f t="shared" si="34"/>
        <v>#DIV/0!</v>
      </c>
      <c r="BK34" s="19" t="e">
        <f t="shared" si="34"/>
        <v>#DIV/0!</v>
      </c>
      <c r="BL34" s="19" t="e">
        <f t="shared" si="34"/>
        <v>#DIV/0!</v>
      </c>
      <c r="BM34" s="19" t="e">
        <f t="shared" si="34"/>
        <v>#DIV/0!</v>
      </c>
      <c r="BN34" s="19" t="e">
        <f t="shared" si="34"/>
        <v>#DIV/0!</v>
      </c>
      <c r="BO34" s="19" t="e">
        <f t="shared" si="34"/>
        <v>#DIV/0!</v>
      </c>
      <c r="BP34" s="19" t="e">
        <f t="shared" si="34"/>
        <v>#DIV/0!</v>
      </c>
      <c r="BQ34" s="19" t="e">
        <f t="shared" ref="BQ34:EB34" si="35">BQ32/BQ30</f>
        <v>#DIV/0!</v>
      </c>
      <c r="BR34" s="19" t="e">
        <f t="shared" si="35"/>
        <v>#DIV/0!</v>
      </c>
      <c r="BS34" s="19" t="e">
        <f t="shared" si="35"/>
        <v>#DIV/0!</v>
      </c>
      <c r="BT34" s="19">
        <f t="shared" si="35"/>
        <v>2.1619339462036091</v>
      </c>
      <c r="BU34" s="19">
        <f t="shared" si="35"/>
        <v>2.241606816798539</v>
      </c>
      <c r="BV34" s="19">
        <f t="shared" si="35"/>
        <v>2.4205430494314228</v>
      </c>
      <c r="BW34" s="19">
        <f t="shared" si="35"/>
        <v>2.0372578814077373</v>
      </c>
      <c r="BX34" s="19">
        <f t="shared" si="35"/>
        <v>1.9572578814077375</v>
      </c>
      <c r="BY34" s="19">
        <f t="shared" si="35"/>
        <v>1.3175230566534912</v>
      </c>
      <c r="BZ34" s="19">
        <f t="shared" si="35"/>
        <v>1.3175230566534912</v>
      </c>
      <c r="CA34" s="19">
        <f t="shared" si="35"/>
        <v>1.3175230566534912</v>
      </c>
      <c r="CB34" s="19">
        <f t="shared" si="35"/>
        <v>1.3104013104013106</v>
      </c>
      <c r="CC34" s="19">
        <f t="shared" si="35"/>
        <v>1.3104013104013106</v>
      </c>
      <c r="CD34" s="19">
        <f t="shared" si="35"/>
        <v>1.3104013104013106</v>
      </c>
      <c r="CE34" s="19">
        <f t="shared" si="35"/>
        <v>1.3104013104013106</v>
      </c>
      <c r="CF34" s="19">
        <f t="shared" si="35"/>
        <v>1.3104013104013106</v>
      </c>
      <c r="CG34" s="19">
        <f t="shared" si="35"/>
        <v>1.3104013104013106</v>
      </c>
      <c r="CH34" s="19">
        <f t="shared" si="35"/>
        <v>1.3104013104013106</v>
      </c>
      <c r="CI34" s="19">
        <f t="shared" si="35"/>
        <v>1.3104013104013106</v>
      </c>
      <c r="CJ34" s="19">
        <f t="shared" si="35"/>
        <v>1.3104013104013106</v>
      </c>
      <c r="CK34" s="19">
        <f t="shared" si="35"/>
        <v>1.3104013104013106</v>
      </c>
      <c r="CL34" s="19">
        <f t="shared" si="35"/>
        <v>1.8317437672276384</v>
      </c>
      <c r="CM34" s="19">
        <f t="shared" si="35"/>
        <v>1.68</v>
      </c>
      <c r="CN34" s="19">
        <f t="shared" si="35"/>
        <v>1.68</v>
      </c>
      <c r="CO34" s="19">
        <f t="shared" si="35"/>
        <v>1.68</v>
      </c>
      <c r="CP34" s="19">
        <f t="shared" si="35"/>
        <v>1.68</v>
      </c>
      <c r="CQ34" s="19">
        <f t="shared" si="35"/>
        <v>2.16</v>
      </c>
      <c r="CR34" s="19">
        <f t="shared" si="35"/>
        <v>2.16</v>
      </c>
      <c r="CS34" s="19">
        <f t="shared" si="35"/>
        <v>2.16</v>
      </c>
      <c r="CT34" s="19">
        <f t="shared" si="35"/>
        <v>2.16</v>
      </c>
      <c r="CU34" s="19">
        <f t="shared" si="35"/>
        <v>2.16</v>
      </c>
      <c r="CV34" s="19">
        <f t="shared" si="35"/>
        <v>2.16</v>
      </c>
      <c r="CW34" s="19">
        <f t="shared" si="35"/>
        <v>2.16</v>
      </c>
      <c r="CX34" s="19">
        <f t="shared" si="35"/>
        <v>2.16</v>
      </c>
      <c r="CY34" s="19">
        <f t="shared" si="35"/>
        <v>2.16</v>
      </c>
      <c r="CZ34" s="19">
        <f t="shared" si="35"/>
        <v>2.16</v>
      </c>
      <c r="DA34" s="19">
        <f t="shared" si="35"/>
        <v>2.16</v>
      </c>
      <c r="DB34" s="19">
        <f t="shared" si="35"/>
        <v>2.16</v>
      </c>
      <c r="DC34" s="19">
        <f t="shared" si="35"/>
        <v>2.16</v>
      </c>
      <c r="DD34" s="19">
        <f t="shared" si="35"/>
        <v>2.16</v>
      </c>
      <c r="DE34" s="19">
        <f t="shared" si="35"/>
        <v>2.16</v>
      </c>
      <c r="DF34" s="19">
        <f t="shared" si="35"/>
        <v>1</v>
      </c>
      <c r="DG34" s="19">
        <f t="shared" si="35"/>
        <v>1</v>
      </c>
      <c r="DH34" s="19">
        <f t="shared" si="35"/>
        <v>1</v>
      </c>
      <c r="DI34" s="19">
        <f t="shared" si="35"/>
        <v>1</v>
      </c>
      <c r="DJ34" s="19">
        <f t="shared" si="35"/>
        <v>1</v>
      </c>
      <c r="DK34" s="19">
        <f t="shared" si="35"/>
        <v>1</v>
      </c>
      <c r="DL34" s="19">
        <f t="shared" si="35"/>
        <v>1</v>
      </c>
      <c r="DM34" s="19">
        <f t="shared" si="35"/>
        <v>1</v>
      </c>
      <c r="DN34" s="19">
        <f t="shared" si="35"/>
        <v>1</v>
      </c>
      <c r="DO34" s="19">
        <f t="shared" si="35"/>
        <v>1</v>
      </c>
      <c r="DP34" s="19">
        <f t="shared" si="35"/>
        <v>1</v>
      </c>
      <c r="DQ34" s="19">
        <f t="shared" si="35"/>
        <v>1</v>
      </c>
      <c r="DR34" s="19">
        <f t="shared" si="35"/>
        <v>1</v>
      </c>
      <c r="DS34" s="19">
        <f t="shared" si="35"/>
        <v>1</v>
      </c>
      <c r="DT34" s="19">
        <f t="shared" si="35"/>
        <v>1</v>
      </c>
      <c r="DU34" s="19">
        <f t="shared" si="35"/>
        <v>1</v>
      </c>
      <c r="DV34" s="19">
        <f t="shared" si="35"/>
        <v>1</v>
      </c>
      <c r="DW34" s="19">
        <f t="shared" si="35"/>
        <v>1</v>
      </c>
      <c r="DX34" s="19">
        <f t="shared" si="35"/>
        <v>1</v>
      </c>
      <c r="DY34" s="19">
        <f t="shared" si="35"/>
        <v>1</v>
      </c>
      <c r="DZ34" s="19">
        <f t="shared" si="35"/>
        <v>1</v>
      </c>
      <c r="EA34" s="19">
        <f t="shared" si="35"/>
        <v>1.0740740740740742</v>
      </c>
      <c r="EB34" s="19">
        <f t="shared" si="35"/>
        <v>1.0740740740740742</v>
      </c>
      <c r="EC34" s="19">
        <f t="shared" ref="EC34:EY34" si="36">EC32/EC30</f>
        <v>0.98148148148148151</v>
      </c>
      <c r="ED34" s="19">
        <f t="shared" si="36"/>
        <v>0.98148148148148151</v>
      </c>
      <c r="EE34" s="19">
        <f t="shared" si="36"/>
        <v>0.98148148148148151</v>
      </c>
      <c r="EF34" s="19">
        <f t="shared" si="36"/>
        <v>0.98148148148148151</v>
      </c>
      <c r="EG34" s="19">
        <f t="shared" si="36"/>
        <v>0.98148148148148151</v>
      </c>
      <c r="EH34" s="19">
        <f t="shared" si="36"/>
        <v>0.98148148148148151</v>
      </c>
      <c r="EI34" s="19">
        <f t="shared" si="36"/>
        <v>0.98148148148148151</v>
      </c>
      <c r="EJ34" s="19">
        <f t="shared" si="36"/>
        <v>0.98148148148148151</v>
      </c>
      <c r="EK34" s="19">
        <f t="shared" si="36"/>
        <v>0.98148148148148151</v>
      </c>
      <c r="EL34" s="19">
        <f t="shared" si="36"/>
        <v>0.98148148148148151</v>
      </c>
      <c r="EM34" s="19">
        <f t="shared" si="36"/>
        <v>0.98148148148148151</v>
      </c>
      <c r="EN34" s="19">
        <f t="shared" si="36"/>
        <v>0.98148148148148151</v>
      </c>
      <c r="EO34" s="19">
        <f t="shared" si="36"/>
        <v>0.98148148148148151</v>
      </c>
      <c r="EP34" s="19">
        <f t="shared" si="36"/>
        <v>0.98148148148148151</v>
      </c>
      <c r="EQ34" s="19">
        <f t="shared" si="36"/>
        <v>0.98148148148148151</v>
      </c>
      <c r="ER34" s="19">
        <f t="shared" si="36"/>
        <v>0.98148148148148151</v>
      </c>
      <c r="ES34" s="19">
        <f t="shared" si="36"/>
        <v>0.98148148148148151</v>
      </c>
      <c r="ET34" s="19">
        <f t="shared" si="36"/>
        <v>0.98148148148148151</v>
      </c>
      <c r="EU34" s="19">
        <f t="shared" si="36"/>
        <v>1</v>
      </c>
      <c r="EV34" s="19">
        <f t="shared" si="36"/>
        <v>1</v>
      </c>
      <c r="EW34" s="19">
        <f t="shared" si="36"/>
        <v>1</v>
      </c>
      <c r="EX34" s="19">
        <f t="shared" si="36"/>
        <v>1</v>
      </c>
      <c r="EY34" s="19">
        <f t="shared" si="36"/>
        <v>1</v>
      </c>
    </row>
    <row r="35" spans="1:155" x14ac:dyDescent="0.3">
      <c r="A35" s="36"/>
      <c r="B35" s="36"/>
      <c r="C35" s="39"/>
      <c r="D35" s="15" t="s">
        <v>17</v>
      </c>
      <c r="E35" s="20" t="e">
        <f>E32/E31</f>
        <v>#DIV/0!</v>
      </c>
      <c r="F35" s="20" t="e">
        <f t="shared" ref="F35:AA35" si="37">F32/F31</f>
        <v>#DIV/0!</v>
      </c>
      <c r="G35" s="20" t="e">
        <f t="shared" si="37"/>
        <v>#DIV/0!</v>
      </c>
      <c r="H35" s="20" t="e">
        <f t="shared" si="37"/>
        <v>#DIV/0!</v>
      </c>
      <c r="I35" s="20" t="e">
        <f t="shared" si="37"/>
        <v>#DIV/0!</v>
      </c>
      <c r="J35" s="20" t="e">
        <f t="shared" si="37"/>
        <v>#DIV/0!</v>
      </c>
      <c r="K35" s="20" t="e">
        <f t="shared" si="37"/>
        <v>#DIV/0!</v>
      </c>
      <c r="L35" s="20" t="e">
        <f t="shared" si="37"/>
        <v>#DIV/0!</v>
      </c>
      <c r="M35" s="20" t="e">
        <f t="shared" si="37"/>
        <v>#DIV/0!</v>
      </c>
      <c r="N35" s="20" t="e">
        <f t="shared" si="37"/>
        <v>#DIV/0!</v>
      </c>
      <c r="O35" s="20" t="e">
        <f t="shared" si="37"/>
        <v>#DIV/0!</v>
      </c>
      <c r="P35" s="20" t="e">
        <f t="shared" si="37"/>
        <v>#DIV/0!</v>
      </c>
      <c r="Q35" s="20" t="e">
        <f t="shared" si="37"/>
        <v>#DIV/0!</v>
      </c>
      <c r="R35" s="20" t="e">
        <f t="shared" si="37"/>
        <v>#DIV/0!</v>
      </c>
      <c r="S35" s="20" t="e">
        <f t="shared" si="37"/>
        <v>#DIV/0!</v>
      </c>
      <c r="T35" s="20" t="e">
        <f t="shared" si="37"/>
        <v>#DIV/0!</v>
      </c>
      <c r="U35" s="20" t="e">
        <f t="shared" si="37"/>
        <v>#DIV/0!</v>
      </c>
      <c r="V35" s="20" t="e">
        <f t="shared" si="37"/>
        <v>#DIV/0!</v>
      </c>
      <c r="W35" s="20" t="e">
        <f t="shared" si="37"/>
        <v>#DIV/0!</v>
      </c>
      <c r="X35" s="20" t="e">
        <f t="shared" si="37"/>
        <v>#DIV/0!</v>
      </c>
      <c r="Y35" s="20" t="e">
        <f t="shared" si="37"/>
        <v>#DIV/0!</v>
      </c>
      <c r="Z35" s="20" t="e">
        <f t="shared" si="37"/>
        <v>#DIV/0!</v>
      </c>
      <c r="AA35" s="20" t="e">
        <f t="shared" si="37"/>
        <v>#DIV/0!</v>
      </c>
      <c r="AB35" s="20" t="e">
        <f>AB33/AB31</f>
        <v>#DIV/0!</v>
      </c>
      <c r="AC35" s="20" t="e">
        <f t="shared" si="34"/>
        <v>#DIV/0!</v>
      </c>
      <c r="AD35" s="20" t="e">
        <f t="shared" si="34"/>
        <v>#DIV/0!</v>
      </c>
      <c r="AE35" s="20" t="e">
        <f t="shared" si="34"/>
        <v>#DIV/0!</v>
      </c>
      <c r="AF35" s="20" t="e">
        <f t="shared" si="34"/>
        <v>#DIV/0!</v>
      </c>
      <c r="AG35" s="20" t="e">
        <f t="shared" si="34"/>
        <v>#DIV/0!</v>
      </c>
      <c r="AH35" s="20" t="e">
        <f t="shared" si="34"/>
        <v>#DIV/0!</v>
      </c>
      <c r="AI35" s="20" t="e">
        <f t="shared" si="34"/>
        <v>#DIV/0!</v>
      </c>
      <c r="AJ35" s="20" t="e">
        <f t="shared" si="34"/>
        <v>#DIV/0!</v>
      </c>
      <c r="AK35" s="20" t="e">
        <f t="shared" si="34"/>
        <v>#DIV/0!</v>
      </c>
      <c r="AL35" s="20" t="e">
        <f t="shared" si="34"/>
        <v>#DIV/0!</v>
      </c>
      <c r="AM35" s="20" t="e">
        <f>AM33/AM31</f>
        <v>#DIV/0!</v>
      </c>
      <c r="AN35" s="20" t="e">
        <f t="shared" si="34"/>
        <v>#DIV/0!</v>
      </c>
      <c r="AO35" s="20" t="e">
        <f t="shared" si="34"/>
        <v>#DIV/0!</v>
      </c>
      <c r="AP35" s="20" t="e">
        <f t="shared" si="34"/>
        <v>#DIV/0!</v>
      </c>
      <c r="AQ35" s="20" t="e">
        <f t="shared" si="34"/>
        <v>#DIV/0!</v>
      </c>
      <c r="AR35" s="20" t="e">
        <f t="shared" si="34"/>
        <v>#DIV/0!</v>
      </c>
      <c r="AS35" s="20" t="e">
        <f t="shared" ref="AS35:DD35" si="38">AS32/AS31</f>
        <v>#DIV/0!</v>
      </c>
      <c r="AT35" s="20" t="e">
        <f t="shared" si="38"/>
        <v>#DIV/0!</v>
      </c>
      <c r="AU35" s="20" t="e">
        <f t="shared" si="38"/>
        <v>#DIV/0!</v>
      </c>
      <c r="AV35" s="20" t="e">
        <f t="shared" si="38"/>
        <v>#DIV/0!</v>
      </c>
      <c r="AW35" s="20" t="e">
        <f t="shared" si="38"/>
        <v>#DIV/0!</v>
      </c>
      <c r="AX35" s="20" t="e">
        <f t="shared" si="38"/>
        <v>#DIV/0!</v>
      </c>
      <c r="AY35" s="20" t="e">
        <f t="shared" si="38"/>
        <v>#DIV/0!</v>
      </c>
      <c r="AZ35" s="20" t="e">
        <f t="shared" si="38"/>
        <v>#DIV/0!</v>
      </c>
      <c r="BA35" s="20" t="e">
        <f t="shared" si="38"/>
        <v>#DIV/0!</v>
      </c>
      <c r="BB35" s="20" t="e">
        <f t="shared" si="38"/>
        <v>#DIV/0!</v>
      </c>
      <c r="BC35" s="20" t="e">
        <f t="shared" si="38"/>
        <v>#DIV/0!</v>
      </c>
      <c r="BD35" s="20" t="e">
        <f t="shared" si="38"/>
        <v>#DIV/0!</v>
      </c>
      <c r="BE35" s="20" t="e">
        <f t="shared" si="38"/>
        <v>#DIV/0!</v>
      </c>
      <c r="BF35" s="20" t="e">
        <f t="shared" si="38"/>
        <v>#DIV/0!</v>
      </c>
      <c r="BG35" s="20" t="e">
        <f t="shared" si="38"/>
        <v>#DIV/0!</v>
      </c>
      <c r="BH35" s="20" t="e">
        <f t="shared" si="38"/>
        <v>#DIV/0!</v>
      </c>
      <c r="BI35" s="20" t="e">
        <f t="shared" si="38"/>
        <v>#DIV/0!</v>
      </c>
      <c r="BJ35" s="20" t="e">
        <f t="shared" si="38"/>
        <v>#DIV/0!</v>
      </c>
      <c r="BK35" s="20" t="e">
        <f t="shared" si="38"/>
        <v>#DIV/0!</v>
      </c>
      <c r="BL35" s="20" t="e">
        <f t="shared" si="38"/>
        <v>#DIV/0!</v>
      </c>
      <c r="BM35" s="20" t="e">
        <f t="shared" si="38"/>
        <v>#DIV/0!</v>
      </c>
      <c r="BN35" s="20" t="e">
        <f t="shared" si="38"/>
        <v>#DIV/0!</v>
      </c>
      <c r="BO35" s="20" t="e">
        <f t="shared" si="38"/>
        <v>#DIV/0!</v>
      </c>
      <c r="BP35" s="20" t="e">
        <f t="shared" si="38"/>
        <v>#DIV/0!</v>
      </c>
      <c r="BQ35" s="20" t="e">
        <f t="shared" si="38"/>
        <v>#DIV/0!</v>
      </c>
      <c r="BR35" s="20" t="e">
        <f t="shared" si="38"/>
        <v>#DIV/0!</v>
      </c>
      <c r="BS35" s="20" t="e">
        <f t="shared" si="38"/>
        <v>#DIV/0!</v>
      </c>
      <c r="BT35" s="20">
        <f t="shared" si="38"/>
        <v>1.0197801633035892</v>
      </c>
      <c r="BU35" s="20">
        <f t="shared" si="38"/>
        <v>1.0573617060370468</v>
      </c>
      <c r="BV35" s="20">
        <f t="shared" si="38"/>
        <v>1.1637226199189532</v>
      </c>
      <c r="BW35" s="20">
        <f t="shared" si="38"/>
        <v>0.97945090452295069</v>
      </c>
      <c r="BX35" s="20">
        <f t="shared" si="38"/>
        <v>1.254652488081883</v>
      </c>
      <c r="BY35" s="20">
        <f t="shared" si="38"/>
        <v>1.097935880544576</v>
      </c>
      <c r="BZ35" s="20">
        <f t="shared" si="38"/>
        <v>1.097935880544576</v>
      </c>
      <c r="CA35" s="20">
        <f t="shared" si="38"/>
        <v>1.097935880544576</v>
      </c>
      <c r="CB35" s="20">
        <f t="shared" si="38"/>
        <v>1.0920010920010921</v>
      </c>
      <c r="CC35" s="20">
        <f t="shared" si="38"/>
        <v>1.0920010920010921</v>
      </c>
      <c r="CD35" s="20">
        <f t="shared" si="38"/>
        <v>1.0920010920010921</v>
      </c>
      <c r="CE35" s="20">
        <f t="shared" si="38"/>
        <v>1.0920010920010921</v>
      </c>
      <c r="CF35" s="20">
        <f t="shared" si="38"/>
        <v>1.0920010920010921</v>
      </c>
      <c r="CG35" s="20">
        <f t="shared" si="38"/>
        <v>1.0920010920010921</v>
      </c>
      <c r="CH35" s="20">
        <f t="shared" si="38"/>
        <v>1.0920010920010921</v>
      </c>
      <c r="CI35" s="20">
        <f t="shared" si="38"/>
        <v>0.7800007800007801</v>
      </c>
      <c r="CJ35" s="20">
        <f t="shared" si="38"/>
        <v>1.0920010920010921</v>
      </c>
      <c r="CK35" s="20">
        <f t="shared" si="38"/>
        <v>0.7800007800007801</v>
      </c>
      <c r="CL35" s="20">
        <f t="shared" si="38"/>
        <v>1.0903236709688324</v>
      </c>
      <c r="CM35" s="20">
        <f t="shared" si="38"/>
        <v>1</v>
      </c>
      <c r="CN35" s="20">
        <f t="shared" si="38"/>
        <v>1</v>
      </c>
      <c r="CO35" s="20">
        <f t="shared" si="38"/>
        <v>1</v>
      </c>
      <c r="CP35" s="20">
        <f t="shared" si="38"/>
        <v>1</v>
      </c>
      <c r="CQ35" s="20">
        <f t="shared" si="38"/>
        <v>1</v>
      </c>
      <c r="CR35" s="20">
        <f t="shared" si="38"/>
        <v>1</v>
      </c>
      <c r="CS35" s="20">
        <f t="shared" si="38"/>
        <v>1</v>
      </c>
      <c r="CT35" s="20">
        <f t="shared" si="38"/>
        <v>1</v>
      </c>
      <c r="CU35" s="20">
        <f t="shared" si="38"/>
        <v>1</v>
      </c>
      <c r="CV35" s="20">
        <f t="shared" si="38"/>
        <v>1</v>
      </c>
      <c r="CW35" s="20">
        <f t="shared" si="38"/>
        <v>1</v>
      </c>
      <c r="CX35" s="20">
        <f t="shared" si="38"/>
        <v>1</v>
      </c>
      <c r="CY35" s="20">
        <f t="shared" si="38"/>
        <v>1</v>
      </c>
      <c r="CZ35" s="20">
        <f t="shared" si="38"/>
        <v>1</v>
      </c>
      <c r="DA35" s="20">
        <f t="shared" si="38"/>
        <v>1</v>
      </c>
      <c r="DB35" s="20">
        <f t="shared" si="38"/>
        <v>1</v>
      </c>
      <c r="DC35" s="20">
        <f t="shared" si="38"/>
        <v>1</v>
      </c>
      <c r="DD35" s="20">
        <f t="shared" si="38"/>
        <v>1</v>
      </c>
      <c r="DE35" s="20">
        <f t="shared" ref="DE35:EY35" si="39">DE32/DE31</f>
        <v>1</v>
      </c>
      <c r="DF35" s="20">
        <f t="shared" si="39"/>
        <v>1</v>
      </c>
      <c r="DG35" s="20">
        <f t="shared" si="39"/>
        <v>1</v>
      </c>
      <c r="DH35" s="20">
        <f t="shared" si="39"/>
        <v>1</v>
      </c>
      <c r="DI35" s="20">
        <f t="shared" si="39"/>
        <v>1</v>
      </c>
      <c r="DJ35" s="20">
        <f t="shared" si="39"/>
        <v>1</v>
      </c>
      <c r="DK35" s="20">
        <f t="shared" si="39"/>
        <v>1</v>
      </c>
      <c r="DL35" s="20">
        <f t="shared" si="39"/>
        <v>1</v>
      </c>
      <c r="DM35" s="20">
        <f t="shared" si="39"/>
        <v>1</v>
      </c>
      <c r="DN35" s="20">
        <f t="shared" si="39"/>
        <v>1</v>
      </c>
      <c r="DO35" s="20">
        <f t="shared" si="39"/>
        <v>1</v>
      </c>
      <c r="DP35" s="20">
        <f t="shared" si="39"/>
        <v>1</v>
      </c>
      <c r="DQ35" s="20">
        <f t="shared" si="39"/>
        <v>1</v>
      </c>
      <c r="DR35" s="20">
        <f t="shared" si="39"/>
        <v>1</v>
      </c>
      <c r="DS35" s="20">
        <f t="shared" si="39"/>
        <v>1</v>
      </c>
      <c r="DT35" s="20">
        <f t="shared" si="39"/>
        <v>1</v>
      </c>
      <c r="DU35" s="20">
        <f t="shared" si="39"/>
        <v>1</v>
      </c>
      <c r="DV35" s="20">
        <f t="shared" si="39"/>
        <v>1</v>
      </c>
      <c r="DW35" s="20">
        <f t="shared" si="39"/>
        <v>1</v>
      </c>
      <c r="DX35" s="20">
        <f t="shared" si="39"/>
        <v>1</v>
      </c>
      <c r="DY35" s="20">
        <f t="shared" si="39"/>
        <v>1</v>
      </c>
      <c r="DZ35" s="20">
        <f t="shared" si="39"/>
        <v>1</v>
      </c>
      <c r="EA35" s="20">
        <f t="shared" si="39"/>
        <v>1.0740740740740742</v>
      </c>
      <c r="EB35" s="20">
        <f t="shared" si="39"/>
        <v>1.0740740740740742</v>
      </c>
      <c r="EC35" s="20">
        <f t="shared" si="39"/>
        <v>0.98148148148148151</v>
      </c>
      <c r="ED35" s="20">
        <f t="shared" si="39"/>
        <v>0.98148148148148151</v>
      </c>
      <c r="EE35" s="20">
        <f t="shared" si="39"/>
        <v>0.98148148148148151</v>
      </c>
      <c r="EF35" s="20">
        <f t="shared" si="39"/>
        <v>0.98148148148148151</v>
      </c>
      <c r="EG35" s="20">
        <f t="shared" si="39"/>
        <v>0.98148148148148151</v>
      </c>
      <c r="EH35" s="20">
        <f t="shared" si="39"/>
        <v>0.98148148148148151</v>
      </c>
      <c r="EI35" s="20">
        <f t="shared" si="39"/>
        <v>0.98148148148148151</v>
      </c>
      <c r="EJ35" s="20">
        <f t="shared" si="39"/>
        <v>0.98148148148148151</v>
      </c>
      <c r="EK35" s="20">
        <f t="shared" si="39"/>
        <v>0.98148148148148151</v>
      </c>
      <c r="EL35" s="20">
        <f t="shared" si="39"/>
        <v>0.98148148148148151</v>
      </c>
      <c r="EM35" s="20">
        <f t="shared" si="39"/>
        <v>0.98148148148148151</v>
      </c>
      <c r="EN35" s="20">
        <f t="shared" si="39"/>
        <v>0.98148148148148151</v>
      </c>
      <c r="EO35" s="20">
        <f t="shared" si="39"/>
        <v>0.98148148148148151</v>
      </c>
      <c r="EP35" s="20">
        <f t="shared" si="39"/>
        <v>0.98148148148148151</v>
      </c>
      <c r="EQ35" s="20">
        <f t="shared" si="39"/>
        <v>0.98148148148148151</v>
      </c>
      <c r="ER35" s="20">
        <f t="shared" si="39"/>
        <v>0.98148148148148151</v>
      </c>
      <c r="ES35" s="20">
        <f t="shared" si="39"/>
        <v>0.98148148148148151</v>
      </c>
      <c r="ET35" s="20">
        <f t="shared" si="39"/>
        <v>0.98148148148148151</v>
      </c>
      <c r="EU35" s="20">
        <f t="shared" si="39"/>
        <v>1</v>
      </c>
      <c r="EV35" s="20">
        <f t="shared" si="39"/>
        <v>1</v>
      </c>
      <c r="EW35" s="20">
        <f t="shared" si="39"/>
        <v>1</v>
      </c>
      <c r="EX35" s="20">
        <f t="shared" si="39"/>
        <v>1</v>
      </c>
      <c r="EY35" s="20">
        <f t="shared" si="39"/>
        <v>1</v>
      </c>
    </row>
  </sheetData>
  <mergeCells count="15">
    <mergeCell ref="A2:A7"/>
    <mergeCell ref="B2:B7"/>
    <mergeCell ref="C2:C7"/>
    <mergeCell ref="A9:A14"/>
    <mergeCell ref="B9:B14"/>
    <mergeCell ref="C9:C14"/>
    <mergeCell ref="A30:A35"/>
    <mergeCell ref="B30:B35"/>
    <mergeCell ref="C30:C35"/>
    <mergeCell ref="A16:A21"/>
    <mergeCell ref="B16:B21"/>
    <mergeCell ref="C16:C21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680-F0FA-43DD-9415-237300FD0704}">
  <dimension ref="A1:EY35"/>
  <sheetViews>
    <sheetView showGridLines="0" topLeftCell="B1" workbookViewId="0">
      <selection activeCell="EE12" sqref="EE12:ET12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9" width="8.88671875" hidden="1" customWidth="1"/>
    <col min="110" max="114" width="0" hidden="1" customWidth="1"/>
    <col min="115" max="134" width="8.88671875" hidden="1" customWidth="1"/>
    <col min="135" max="150" width="8.88671875" customWidth="1"/>
    <col min="151" max="155" width="8.88671875" hidden="1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BR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si="0"/>
        <v>45655</v>
      </c>
      <c r="AY1" s="14">
        <f t="shared" si="0"/>
        <v>45662</v>
      </c>
      <c r="AZ1" s="14">
        <f t="shared" si="0"/>
        <v>45669</v>
      </c>
      <c r="BA1" s="14">
        <f t="shared" si="0"/>
        <v>45676</v>
      </c>
      <c r="BB1" s="14">
        <f t="shared" si="0"/>
        <v>45683</v>
      </c>
      <c r="BC1" s="14">
        <f t="shared" si="0"/>
        <v>45690</v>
      </c>
      <c r="BD1" s="14">
        <f t="shared" si="0"/>
        <v>45697</v>
      </c>
      <c r="BE1" s="14">
        <f t="shared" si="0"/>
        <v>45704</v>
      </c>
      <c r="BF1" s="14">
        <f t="shared" si="0"/>
        <v>45711</v>
      </c>
      <c r="BG1" s="14">
        <f t="shared" si="0"/>
        <v>45718</v>
      </c>
      <c r="BH1" s="14">
        <f t="shared" si="0"/>
        <v>45725</v>
      </c>
      <c r="BI1" s="14">
        <f t="shared" si="0"/>
        <v>45732</v>
      </c>
      <c r="BJ1" s="14">
        <f t="shared" si="0"/>
        <v>45739</v>
      </c>
      <c r="BK1" s="14">
        <f t="shared" si="0"/>
        <v>45746</v>
      </c>
      <c r="BL1" s="14">
        <f t="shared" si="0"/>
        <v>45753</v>
      </c>
      <c r="BM1" s="14">
        <f t="shared" si="0"/>
        <v>45760</v>
      </c>
      <c r="BN1" s="14">
        <f t="shared" si="0"/>
        <v>45767</v>
      </c>
      <c r="BO1" s="14">
        <f t="shared" si="0"/>
        <v>45774</v>
      </c>
      <c r="BP1" s="14">
        <f t="shared" si="0"/>
        <v>45781</v>
      </c>
      <c r="BQ1" s="14">
        <f t="shared" si="0"/>
        <v>45788</v>
      </c>
      <c r="BR1" s="14">
        <f t="shared" si="0"/>
        <v>45795</v>
      </c>
      <c r="BS1" s="14">
        <f t="shared" ref="BS1:ED1" si="1">BR1+7</f>
        <v>45802</v>
      </c>
      <c r="BT1" s="14">
        <f t="shared" si="1"/>
        <v>45809</v>
      </c>
      <c r="BU1" s="14">
        <f t="shared" si="1"/>
        <v>45816</v>
      </c>
      <c r="BV1" s="14">
        <f t="shared" si="1"/>
        <v>45823</v>
      </c>
      <c r="BW1" s="14">
        <f t="shared" si="1"/>
        <v>45830</v>
      </c>
      <c r="BX1" s="14">
        <f t="shared" si="1"/>
        <v>45837</v>
      </c>
      <c r="BY1" s="14">
        <f t="shared" si="1"/>
        <v>45844</v>
      </c>
      <c r="BZ1" s="14">
        <f t="shared" si="1"/>
        <v>45851</v>
      </c>
      <c r="CA1" s="14">
        <f t="shared" si="1"/>
        <v>45858</v>
      </c>
      <c r="CB1" s="14">
        <f t="shared" si="1"/>
        <v>45865</v>
      </c>
      <c r="CC1" s="14">
        <f t="shared" si="1"/>
        <v>45872</v>
      </c>
      <c r="CD1" s="14">
        <f t="shared" si="1"/>
        <v>45879</v>
      </c>
      <c r="CE1" s="14">
        <f t="shared" si="1"/>
        <v>45886</v>
      </c>
      <c r="CF1" s="14">
        <f t="shared" si="1"/>
        <v>45893</v>
      </c>
      <c r="CG1" s="14">
        <f t="shared" si="1"/>
        <v>45900</v>
      </c>
      <c r="CH1" s="14">
        <f t="shared" si="1"/>
        <v>45907</v>
      </c>
      <c r="CI1" s="14">
        <f t="shared" si="1"/>
        <v>45914</v>
      </c>
      <c r="CJ1" s="14">
        <f t="shared" si="1"/>
        <v>45921</v>
      </c>
      <c r="CK1" s="14">
        <f t="shared" si="1"/>
        <v>45928</v>
      </c>
      <c r="CL1" s="14">
        <f t="shared" si="1"/>
        <v>45935</v>
      </c>
      <c r="CM1" s="14">
        <f t="shared" si="1"/>
        <v>45942</v>
      </c>
      <c r="CN1" s="14">
        <f t="shared" si="1"/>
        <v>45949</v>
      </c>
      <c r="CO1" s="14">
        <f t="shared" si="1"/>
        <v>45956</v>
      </c>
      <c r="CP1" s="14">
        <f t="shared" si="1"/>
        <v>45963</v>
      </c>
      <c r="CQ1" s="14">
        <f t="shared" si="1"/>
        <v>45970</v>
      </c>
      <c r="CR1" s="14">
        <f t="shared" si="1"/>
        <v>45977</v>
      </c>
      <c r="CS1" s="14">
        <f t="shared" si="1"/>
        <v>45984</v>
      </c>
      <c r="CT1" s="14">
        <f t="shared" si="1"/>
        <v>45991</v>
      </c>
      <c r="CU1" s="14">
        <f t="shared" si="1"/>
        <v>45998</v>
      </c>
      <c r="CV1" s="14">
        <f t="shared" si="1"/>
        <v>46005</v>
      </c>
      <c r="CW1" s="14">
        <f t="shared" si="1"/>
        <v>46012</v>
      </c>
      <c r="CX1" s="14">
        <f t="shared" si="1"/>
        <v>46019</v>
      </c>
      <c r="CY1" s="14">
        <f t="shared" si="1"/>
        <v>46026</v>
      </c>
      <c r="CZ1" s="14">
        <f t="shared" si="1"/>
        <v>46033</v>
      </c>
      <c r="DA1" s="14">
        <f t="shared" si="1"/>
        <v>46040</v>
      </c>
      <c r="DB1" s="14">
        <f t="shared" si="1"/>
        <v>46047</v>
      </c>
      <c r="DC1" s="14">
        <f t="shared" si="1"/>
        <v>46054</v>
      </c>
      <c r="DD1" s="14">
        <f t="shared" si="1"/>
        <v>46061</v>
      </c>
      <c r="DE1" s="14">
        <f t="shared" si="1"/>
        <v>46068</v>
      </c>
      <c r="DF1" s="14">
        <f t="shared" si="1"/>
        <v>46075</v>
      </c>
      <c r="DG1" s="14">
        <f t="shared" si="1"/>
        <v>46082</v>
      </c>
      <c r="DH1" s="14">
        <f t="shared" si="1"/>
        <v>46089</v>
      </c>
      <c r="DI1" s="14">
        <f t="shared" si="1"/>
        <v>46096</v>
      </c>
      <c r="DJ1" s="14">
        <f t="shared" si="1"/>
        <v>46103</v>
      </c>
      <c r="DK1" s="14">
        <f t="shared" si="1"/>
        <v>46110</v>
      </c>
      <c r="DL1" s="14">
        <f t="shared" si="1"/>
        <v>46117</v>
      </c>
      <c r="DM1" s="14">
        <f t="shared" si="1"/>
        <v>46124</v>
      </c>
      <c r="DN1" s="14">
        <f t="shared" si="1"/>
        <v>46131</v>
      </c>
      <c r="DO1" s="14">
        <f t="shared" si="1"/>
        <v>46138</v>
      </c>
      <c r="DP1" s="14">
        <f t="shared" si="1"/>
        <v>46145</v>
      </c>
      <c r="DQ1" s="14">
        <f t="shared" si="1"/>
        <v>46152</v>
      </c>
      <c r="DR1" s="14">
        <f t="shared" si="1"/>
        <v>46159</v>
      </c>
      <c r="DS1" s="14">
        <f t="shared" si="1"/>
        <v>46166</v>
      </c>
      <c r="DT1" s="14">
        <f t="shared" si="1"/>
        <v>46173</v>
      </c>
      <c r="DU1" s="14">
        <f t="shared" si="1"/>
        <v>46180</v>
      </c>
      <c r="DV1" s="14">
        <f t="shared" si="1"/>
        <v>46187</v>
      </c>
      <c r="DW1" s="14">
        <f t="shared" si="1"/>
        <v>46194</v>
      </c>
      <c r="DX1" s="14">
        <f t="shared" si="1"/>
        <v>46201</v>
      </c>
      <c r="DY1" s="14">
        <f t="shared" si="1"/>
        <v>46208</v>
      </c>
      <c r="DZ1" s="14">
        <f t="shared" si="1"/>
        <v>46215</v>
      </c>
      <c r="EA1" s="14">
        <f t="shared" si="1"/>
        <v>46222</v>
      </c>
      <c r="EB1" s="14">
        <f t="shared" si="1"/>
        <v>46229</v>
      </c>
      <c r="EC1" s="14">
        <f t="shared" si="1"/>
        <v>46236</v>
      </c>
      <c r="ED1" s="14">
        <f t="shared" si="1"/>
        <v>46243</v>
      </c>
      <c r="EE1" s="14">
        <f t="shared" ref="EE1:EY1" si="2">ED1+7</f>
        <v>46250</v>
      </c>
      <c r="EF1" s="14">
        <f t="shared" si="2"/>
        <v>46257</v>
      </c>
      <c r="EG1" s="14">
        <f t="shared" si="2"/>
        <v>46264</v>
      </c>
      <c r="EH1" s="14">
        <f t="shared" si="2"/>
        <v>46271</v>
      </c>
      <c r="EI1" s="14">
        <f t="shared" si="2"/>
        <v>46278</v>
      </c>
      <c r="EJ1" s="14">
        <f t="shared" si="2"/>
        <v>46285</v>
      </c>
      <c r="EK1" s="14">
        <f t="shared" si="2"/>
        <v>46292</v>
      </c>
      <c r="EL1" s="14">
        <f t="shared" si="2"/>
        <v>46299</v>
      </c>
      <c r="EM1" s="14">
        <f t="shared" si="2"/>
        <v>46306</v>
      </c>
      <c r="EN1" s="14">
        <f t="shared" si="2"/>
        <v>46313</v>
      </c>
      <c r="EO1" s="14">
        <f t="shared" si="2"/>
        <v>46320</v>
      </c>
      <c r="EP1" s="14">
        <f t="shared" si="2"/>
        <v>46327</v>
      </c>
      <c r="EQ1" s="14">
        <f t="shared" si="2"/>
        <v>46334</v>
      </c>
      <c r="ER1" s="14">
        <f t="shared" si="2"/>
        <v>46341</v>
      </c>
      <c r="ES1" s="14">
        <f t="shared" si="2"/>
        <v>46348</v>
      </c>
      <c r="ET1" s="14">
        <f t="shared" si="2"/>
        <v>46355</v>
      </c>
      <c r="EU1" s="14">
        <f t="shared" si="2"/>
        <v>46362</v>
      </c>
      <c r="EV1" s="14">
        <f t="shared" si="2"/>
        <v>46369</v>
      </c>
      <c r="EW1" s="14">
        <f t="shared" si="2"/>
        <v>46376</v>
      </c>
      <c r="EX1" s="14">
        <f t="shared" si="2"/>
        <v>46383</v>
      </c>
      <c r="EY1" s="14">
        <f t="shared" si="2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BP7" si="3">E4/E2</f>
        <v>#DIV/0!</v>
      </c>
      <c r="F6" s="19" t="e">
        <f t="shared" si="3"/>
        <v>#DIV/0!</v>
      </c>
      <c r="G6" s="19" t="e">
        <f t="shared" si="3"/>
        <v>#DIV/0!</v>
      </c>
      <c r="H6" s="19" t="e">
        <f t="shared" si="3"/>
        <v>#DIV/0!</v>
      </c>
      <c r="I6" s="19" t="e">
        <f t="shared" si="3"/>
        <v>#DIV/0!</v>
      </c>
      <c r="J6" s="19" t="e">
        <f t="shared" si="3"/>
        <v>#DIV/0!</v>
      </c>
      <c r="K6" s="19" t="e">
        <f t="shared" si="3"/>
        <v>#DIV/0!</v>
      </c>
      <c r="L6" s="19" t="e">
        <f t="shared" si="3"/>
        <v>#DIV/0!</v>
      </c>
      <c r="M6" s="19" t="e">
        <f t="shared" si="3"/>
        <v>#DIV/0!</v>
      </c>
      <c r="N6" s="19" t="e">
        <f t="shared" si="3"/>
        <v>#DIV/0!</v>
      </c>
      <c r="O6" s="19" t="e">
        <f t="shared" si="3"/>
        <v>#DIV/0!</v>
      </c>
      <c r="P6" s="19" t="e">
        <f t="shared" si="3"/>
        <v>#DIV/0!</v>
      </c>
      <c r="Q6" s="19">
        <f t="shared" si="3"/>
        <v>0.89047619047619042</v>
      </c>
      <c r="R6" s="19">
        <f t="shared" si="3"/>
        <v>0.6611785714285715</v>
      </c>
      <c r="S6" s="19">
        <f t="shared" si="3"/>
        <v>0.7212857142857142</v>
      </c>
      <c r="T6" s="19">
        <f t="shared" si="3"/>
        <v>0.36064285714285715</v>
      </c>
      <c r="U6" s="19">
        <f t="shared" si="3"/>
        <v>0.71562857142857139</v>
      </c>
      <c r="V6" s="19">
        <f t="shared" si="3"/>
        <v>1.0578857142857141</v>
      </c>
      <c r="W6" s="19">
        <f t="shared" si="3"/>
        <v>0.5714285714285714</v>
      </c>
      <c r="X6" s="19">
        <f t="shared" si="3"/>
        <v>0.8928571428571429</v>
      </c>
      <c r="Y6" s="19">
        <f t="shared" si="3"/>
        <v>0.8571428571428571</v>
      </c>
      <c r="Z6" s="19">
        <f t="shared" si="3"/>
        <v>0.8571428571428571</v>
      </c>
      <c r="AA6" s="19">
        <f t="shared" si="3"/>
        <v>0.8571428571428571</v>
      </c>
      <c r="AB6" s="19">
        <f t="shared" si="3"/>
        <v>0.7857142857142857</v>
      </c>
      <c r="AC6" s="19">
        <f t="shared" si="3"/>
        <v>0.6785714285714286</v>
      </c>
      <c r="AD6" s="19">
        <f t="shared" si="3"/>
        <v>1</v>
      </c>
      <c r="AE6" s="19">
        <f t="shared" si="3"/>
        <v>0.42857142857142855</v>
      </c>
      <c r="AF6" s="19">
        <f t="shared" si="3"/>
        <v>0.75</v>
      </c>
      <c r="AG6" s="19">
        <f t="shared" si="3"/>
        <v>0.75</v>
      </c>
      <c r="AH6" s="19">
        <f t="shared" si="3"/>
        <v>0.6071428571428571</v>
      </c>
      <c r="AI6" s="19">
        <f t="shared" si="3"/>
        <v>0.5714285714285714</v>
      </c>
      <c r="AJ6" s="19">
        <f t="shared" si="3"/>
        <v>0.8214285714285714</v>
      </c>
      <c r="AK6" s="19">
        <f t="shared" si="3"/>
        <v>0.7857142857142857</v>
      </c>
      <c r="AL6" s="19">
        <f t="shared" si="3"/>
        <v>0.7857142857142857</v>
      </c>
      <c r="AM6" s="19">
        <f t="shared" si="3"/>
        <v>0.75</v>
      </c>
      <c r="AN6" s="19">
        <f t="shared" si="3"/>
        <v>0.7142857142857143</v>
      </c>
      <c r="AO6" s="19">
        <f t="shared" si="3"/>
        <v>0.7142857142857143</v>
      </c>
      <c r="AP6" s="19">
        <f t="shared" si="3"/>
        <v>0.7142857142857143</v>
      </c>
      <c r="AQ6" s="19">
        <f t="shared" si="3"/>
        <v>0.7142857142857143</v>
      </c>
      <c r="AR6" s="19">
        <f t="shared" si="3"/>
        <v>0.9642857142857143</v>
      </c>
      <c r="AS6" s="19">
        <f t="shared" si="3"/>
        <v>1.2142857142857142</v>
      </c>
      <c r="AT6" s="19">
        <f t="shared" si="3"/>
        <v>1.2142857142857142</v>
      </c>
      <c r="AU6" s="19">
        <f t="shared" si="3"/>
        <v>1.2857142857142858</v>
      </c>
      <c r="AV6" s="19">
        <f t="shared" si="3"/>
        <v>1.2142857142857142</v>
      </c>
      <c r="AW6" s="19">
        <f t="shared" si="3"/>
        <v>1.2142857142857142</v>
      </c>
      <c r="AX6" s="19" t="e">
        <f t="shared" si="3"/>
        <v>#DIV/0!</v>
      </c>
      <c r="AY6" s="19" t="e">
        <f t="shared" si="3"/>
        <v>#DIV/0!</v>
      </c>
      <c r="AZ6" s="19" t="e">
        <f t="shared" si="3"/>
        <v>#DIV/0!</v>
      </c>
      <c r="BA6" s="19" t="e">
        <f t="shared" si="3"/>
        <v>#DIV/0!</v>
      </c>
      <c r="BB6" s="19" t="e">
        <f t="shared" si="3"/>
        <v>#DIV/0!</v>
      </c>
      <c r="BC6" s="19" t="e">
        <f t="shared" si="3"/>
        <v>#DIV/0!</v>
      </c>
      <c r="BD6" s="19" t="e">
        <f t="shared" si="3"/>
        <v>#DIV/0!</v>
      </c>
      <c r="BE6" s="19" t="e">
        <f t="shared" si="3"/>
        <v>#DIV/0!</v>
      </c>
      <c r="BF6" s="19" t="e">
        <f t="shared" si="3"/>
        <v>#DIV/0!</v>
      </c>
      <c r="BG6" s="19" t="e">
        <f t="shared" si="3"/>
        <v>#DIV/0!</v>
      </c>
      <c r="BH6" s="19" t="e">
        <f t="shared" si="3"/>
        <v>#DIV/0!</v>
      </c>
      <c r="BI6" s="19" t="e">
        <f t="shared" si="3"/>
        <v>#DIV/0!</v>
      </c>
      <c r="BJ6" s="19" t="e">
        <f t="shared" si="3"/>
        <v>#DIV/0!</v>
      </c>
      <c r="BK6" s="19" t="e">
        <f t="shared" si="3"/>
        <v>#DIV/0!</v>
      </c>
      <c r="BL6" s="19" t="e">
        <f t="shared" si="3"/>
        <v>#DIV/0!</v>
      </c>
      <c r="BM6" s="19" t="e">
        <f t="shared" si="3"/>
        <v>#DIV/0!</v>
      </c>
      <c r="BN6" s="19" t="e">
        <f t="shared" si="3"/>
        <v>#DIV/0!</v>
      </c>
      <c r="BO6" s="19" t="e">
        <f t="shared" si="3"/>
        <v>#DIV/0!</v>
      </c>
      <c r="BP6" s="19" t="e">
        <f t="shared" si="3"/>
        <v>#DIV/0!</v>
      </c>
      <c r="BQ6" s="19" t="e">
        <f t="shared" ref="BQ6:EB6" si="4">BQ4/BQ2</f>
        <v>#DIV/0!</v>
      </c>
      <c r="BR6" s="19" t="e">
        <f t="shared" si="4"/>
        <v>#DIV/0!</v>
      </c>
      <c r="BS6" s="19" t="e">
        <f t="shared" si="4"/>
        <v>#DIV/0!</v>
      </c>
      <c r="BT6" s="19" t="e">
        <f t="shared" si="4"/>
        <v>#DIV/0!</v>
      </c>
      <c r="BU6" s="19" t="e">
        <f t="shared" si="4"/>
        <v>#DIV/0!</v>
      </c>
      <c r="BV6" s="19" t="e">
        <f t="shared" si="4"/>
        <v>#DIV/0!</v>
      </c>
      <c r="BW6" s="19" t="e">
        <f t="shared" si="4"/>
        <v>#DIV/0!</v>
      </c>
      <c r="BX6" s="19" t="e">
        <f t="shared" si="4"/>
        <v>#DIV/0!</v>
      </c>
      <c r="BY6" s="19" t="e">
        <f t="shared" si="4"/>
        <v>#DIV/0!</v>
      </c>
      <c r="BZ6" s="19" t="e">
        <f t="shared" si="4"/>
        <v>#DIV/0!</v>
      </c>
      <c r="CA6" s="19" t="e">
        <f t="shared" si="4"/>
        <v>#DIV/0!</v>
      </c>
      <c r="CB6" s="19" t="e">
        <f t="shared" si="4"/>
        <v>#DIV/0!</v>
      </c>
      <c r="CC6" s="19" t="e">
        <f t="shared" si="4"/>
        <v>#DIV/0!</v>
      </c>
      <c r="CD6" s="19" t="e">
        <f t="shared" si="4"/>
        <v>#DIV/0!</v>
      </c>
      <c r="CE6" s="19" t="e">
        <f t="shared" si="4"/>
        <v>#DIV/0!</v>
      </c>
      <c r="CF6" s="19" t="e">
        <f t="shared" si="4"/>
        <v>#DIV/0!</v>
      </c>
      <c r="CG6" s="19" t="e">
        <f t="shared" si="4"/>
        <v>#DIV/0!</v>
      </c>
      <c r="CH6" s="19" t="e">
        <f t="shared" si="4"/>
        <v>#DIV/0!</v>
      </c>
      <c r="CI6" s="19" t="e">
        <f t="shared" si="4"/>
        <v>#DIV/0!</v>
      </c>
      <c r="CJ6" s="19" t="e">
        <f t="shared" si="4"/>
        <v>#DIV/0!</v>
      </c>
      <c r="CK6" s="19" t="e">
        <f t="shared" si="4"/>
        <v>#DIV/0!</v>
      </c>
      <c r="CL6" s="19" t="e">
        <f t="shared" si="4"/>
        <v>#DIV/0!</v>
      </c>
      <c r="CM6" s="19" t="e">
        <f t="shared" si="4"/>
        <v>#DIV/0!</v>
      </c>
      <c r="CN6" s="19" t="e">
        <f t="shared" si="4"/>
        <v>#DIV/0!</v>
      </c>
      <c r="CO6" s="19" t="e">
        <f t="shared" si="4"/>
        <v>#DIV/0!</v>
      </c>
      <c r="CP6" s="19" t="e">
        <f t="shared" si="4"/>
        <v>#DIV/0!</v>
      </c>
      <c r="CQ6" s="19" t="e">
        <f t="shared" si="4"/>
        <v>#DIV/0!</v>
      </c>
      <c r="CR6" s="19" t="e">
        <f t="shared" si="4"/>
        <v>#DIV/0!</v>
      </c>
      <c r="CS6" s="19" t="e">
        <f t="shared" si="4"/>
        <v>#DIV/0!</v>
      </c>
      <c r="CT6" s="19" t="e">
        <f t="shared" si="4"/>
        <v>#DIV/0!</v>
      </c>
      <c r="CU6" s="19" t="e">
        <f t="shared" si="4"/>
        <v>#DIV/0!</v>
      </c>
      <c r="CV6" s="19" t="e">
        <f t="shared" si="4"/>
        <v>#DIV/0!</v>
      </c>
      <c r="CW6" s="19" t="e">
        <f t="shared" si="4"/>
        <v>#DIV/0!</v>
      </c>
      <c r="CX6" s="19" t="e">
        <f t="shared" si="4"/>
        <v>#DIV/0!</v>
      </c>
      <c r="CY6" s="19" t="e">
        <f t="shared" si="4"/>
        <v>#DIV/0!</v>
      </c>
      <c r="CZ6" s="19" t="e">
        <f t="shared" si="4"/>
        <v>#DIV/0!</v>
      </c>
      <c r="DA6" s="19" t="e">
        <f t="shared" si="4"/>
        <v>#DIV/0!</v>
      </c>
      <c r="DB6" s="19" t="e">
        <f t="shared" si="4"/>
        <v>#DIV/0!</v>
      </c>
      <c r="DC6" s="19" t="e">
        <f t="shared" si="4"/>
        <v>#DIV/0!</v>
      </c>
      <c r="DD6" s="19" t="e">
        <f t="shared" si="4"/>
        <v>#DIV/0!</v>
      </c>
      <c r="DE6" s="19" t="e">
        <f t="shared" si="4"/>
        <v>#DIV/0!</v>
      </c>
      <c r="DF6" s="19" t="e">
        <f t="shared" si="4"/>
        <v>#DIV/0!</v>
      </c>
      <c r="DG6" s="19" t="e">
        <f t="shared" si="4"/>
        <v>#DIV/0!</v>
      </c>
      <c r="DH6" s="19" t="e">
        <f t="shared" si="4"/>
        <v>#DIV/0!</v>
      </c>
      <c r="DI6" s="19" t="e">
        <f t="shared" si="4"/>
        <v>#DIV/0!</v>
      </c>
      <c r="DJ6" s="19" t="e">
        <f t="shared" si="4"/>
        <v>#DIV/0!</v>
      </c>
      <c r="DK6" s="19" t="e">
        <f t="shared" si="4"/>
        <v>#DIV/0!</v>
      </c>
      <c r="DL6" s="19" t="e">
        <f t="shared" si="4"/>
        <v>#DIV/0!</v>
      </c>
      <c r="DM6" s="19" t="e">
        <f t="shared" si="4"/>
        <v>#DIV/0!</v>
      </c>
      <c r="DN6" s="19" t="e">
        <f t="shared" si="4"/>
        <v>#DIV/0!</v>
      </c>
      <c r="DO6" s="19" t="e">
        <f t="shared" si="4"/>
        <v>#DIV/0!</v>
      </c>
      <c r="DP6" s="19" t="e">
        <f t="shared" si="4"/>
        <v>#DIV/0!</v>
      </c>
      <c r="DQ6" s="19" t="e">
        <f t="shared" si="4"/>
        <v>#DIV/0!</v>
      </c>
      <c r="DR6" s="19" t="e">
        <f t="shared" si="4"/>
        <v>#DIV/0!</v>
      </c>
      <c r="DS6" s="19" t="e">
        <f t="shared" si="4"/>
        <v>#DIV/0!</v>
      </c>
      <c r="DT6" s="19" t="e">
        <f t="shared" si="4"/>
        <v>#DIV/0!</v>
      </c>
      <c r="DU6" s="19" t="e">
        <f t="shared" si="4"/>
        <v>#DIV/0!</v>
      </c>
      <c r="DV6" s="19" t="e">
        <f t="shared" si="4"/>
        <v>#DIV/0!</v>
      </c>
      <c r="DW6" s="19" t="e">
        <f t="shared" si="4"/>
        <v>#DIV/0!</v>
      </c>
      <c r="DX6" s="19" t="e">
        <f t="shared" si="4"/>
        <v>#DIV/0!</v>
      </c>
      <c r="DY6" s="19" t="e">
        <f t="shared" si="4"/>
        <v>#DIV/0!</v>
      </c>
      <c r="DZ6" s="19" t="e">
        <f t="shared" si="4"/>
        <v>#DIV/0!</v>
      </c>
      <c r="EA6" s="19" t="e">
        <f t="shared" si="4"/>
        <v>#DIV/0!</v>
      </c>
      <c r="EB6" s="19" t="e">
        <f t="shared" si="4"/>
        <v>#DIV/0!</v>
      </c>
      <c r="EC6" s="19" t="e">
        <f t="shared" ref="EC6:EY6" si="5">EC4/EC2</f>
        <v>#DIV/0!</v>
      </c>
      <c r="ED6" s="19" t="e">
        <f t="shared" si="5"/>
        <v>#DIV/0!</v>
      </c>
      <c r="EE6" s="19" t="e">
        <f t="shared" si="5"/>
        <v>#DIV/0!</v>
      </c>
      <c r="EF6" s="19" t="e">
        <f t="shared" si="5"/>
        <v>#DIV/0!</v>
      </c>
      <c r="EG6" s="19" t="e">
        <f t="shared" si="5"/>
        <v>#DIV/0!</v>
      </c>
      <c r="EH6" s="19" t="e">
        <f t="shared" si="5"/>
        <v>#DIV/0!</v>
      </c>
      <c r="EI6" s="19" t="e">
        <f t="shared" si="5"/>
        <v>#DIV/0!</v>
      </c>
      <c r="EJ6" s="19" t="e">
        <f t="shared" si="5"/>
        <v>#DIV/0!</v>
      </c>
      <c r="EK6" s="19" t="e">
        <f t="shared" si="5"/>
        <v>#DIV/0!</v>
      </c>
      <c r="EL6" s="19" t="e">
        <f t="shared" si="5"/>
        <v>#DIV/0!</v>
      </c>
      <c r="EM6" s="19" t="e">
        <f t="shared" si="5"/>
        <v>#DIV/0!</v>
      </c>
      <c r="EN6" s="19" t="e">
        <f t="shared" si="5"/>
        <v>#DIV/0!</v>
      </c>
      <c r="EO6" s="19" t="e">
        <f t="shared" si="5"/>
        <v>#DIV/0!</v>
      </c>
      <c r="EP6" s="19" t="e">
        <f t="shared" si="5"/>
        <v>#DIV/0!</v>
      </c>
      <c r="EQ6" s="19" t="e">
        <f t="shared" si="5"/>
        <v>#DIV/0!</v>
      </c>
      <c r="ER6" s="19" t="e">
        <f t="shared" si="5"/>
        <v>#DIV/0!</v>
      </c>
      <c r="ES6" s="19" t="e">
        <f t="shared" si="5"/>
        <v>#DIV/0!</v>
      </c>
      <c r="ET6" s="19" t="e">
        <f t="shared" si="5"/>
        <v>#DIV/0!</v>
      </c>
      <c r="EU6" s="19" t="e">
        <f t="shared" si="5"/>
        <v>#DIV/0!</v>
      </c>
      <c r="EV6" s="19" t="e">
        <f t="shared" si="5"/>
        <v>#DIV/0!</v>
      </c>
      <c r="EW6" s="19" t="e">
        <f t="shared" si="5"/>
        <v>#DIV/0!</v>
      </c>
      <c r="EX6" s="19" t="e">
        <f t="shared" si="5"/>
        <v>#DIV/0!</v>
      </c>
      <c r="EY6" s="19" t="e">
        <f t="shared" si="5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BQ7" si="6">F4/F3</f>
        <v>#DIV/0!</v>
      </c>
      <c r="G7" s="20" t="e">
        <f t="shared" si="6"/>
        <v>#DIV/0!</v>
      </c>
      <c r="H7" s="20" t="e">
        <f t="shared" si="6"/>
        <v>#DIV/0!</v>
      </c>
      <c r="I7" s="20" t="e">
        <f t="shared" si="6"/>
        <v>#DIV/0!</v>
      </c>
      <c r="J7" s="20" t="e">
        <f t="shared" si="6"/>
        <v>#DIV/0!</v>
      </c>
      <c r="K7" s="20" t="e">
        <f t="shared" si="6"/>
        <v>#DIV/0!</v>
      </c>
      <c r="L7" s="20" t="e">
        <f t="shared" si="6"/>
        <v>#DIV/0!</v>
      </c>
      <c r="M7" s="20" t="e">
        <f t="shared" si="6"/>
        <v>#DIV/0!</v>
      </c>
      <c r="N7" s="20" t="e">
        <f t="shared" si="6"/>
        <v>#DIV/0!</v>
      </c>
      <c r="O7" s="20" t="e">
        <f t="shared" si="6"/>
        <v>#DIV/0!</v>
      </c>
      <c r="P7" s="20" t="e">
        <f t="shared" si="6"/>
        <v>#DIV/0!</v>
      </c>
      <c r="Q7" s="20">
        <f t="shared" si="6"/>
        <v>0.85</v>
      </c>
      <c r="R7" s="20">
        <f t="shared" si="6"/>
        <v>0.84150000000000003</v>
      </c>
      <c r="S7" s="20">
        <f t="shared" si="6"/>
        <v>0.91799999999999993</v>
      </c>
      <c r="T7" s="20">
        <f t="shared" si="6"/>
        <v>0.91800000000000004</v>
      </c>
      <c r="U7" s="20">
        <f t="shared" si="6"/>
        <v>0.95417142857142845</v>
      </c>
      <c r="V7" s="20">
        <f t="shared" si="6"/>
        <v>1.4105142857142856</v>
      </c>
      <c r="W7" s="20">
        <f t="shared" si="6"/>
        <v>0.94117647058823528</v>
      </c>
      <c r="X7" s="20">
        <f t="shared" si="6"/>
        <v>0.8928571428571429</v>
      </c>
      <c r="Y7" s="20">
        <f t="shared" si="6"/>
        <v>1</v>
      </c>
      <c r="Z7" s="20">
        <f t="shared" si="6"/>
        <v>0.88888888888888884</v>
      </c>
      <c r="AA7" s="20">
        <f t="shared" si="6"/>
        <v>0.88888888888888884</v>
      </c>
      <c r="AB7" s="20">
        <f>AB5/AB3</f>
        <v>0.96296296296296291</v>
      </c>
      <c r="AC7" s="20">
        <f t="shared" si="3"/>
        <v>0.88</v>
      </c>
      <c r="AD7" s="20">
        <f t="shared" si="3"/>
        <v>1.2592592592592593</v>
      </c>
      <c r="AE7" s="20">
        <f t="shared" si="3"/>
        <v>0.73684210526315785</v>
      </c>
      <c r="AF7" s="20">
        <f t="shared" si="3"/>
        <v>2.2727272727272729</v>
      </c>
      <c r="AG7" s="20">
        <f t="shared" si="3"/>
        <v>1.3157894736842106</v>
      </c>
      <c r="AH7" s="20">
        <f t="shared" si="3"/>
        <v>1.7647058823529411</v>
      </c>
      <c r="AI7" s="20">
        <f t="shared" si="3"/>
        <v>1.7058823529411764</v>
      </c>
      <c r="AJ7" s="20">
        <f t="shared" si="3"/>
        <v>1.0740740740740742</v>
      </c>
      <c r="AK7" s="20">
        <f t="shared" si="3"/>
        <v>1.037037037037037</v>
      </c>
      <c r="AL7" s="20">
        <f t="shared" si="3"/>
        <v>1</v>
      </c>
      <c r="AM7" s="20">
        <f>AM5/AM3</f>
        <v>0.96296296296296291</v>
      </c>
      <c r="AN7" s="20">
        <f t="shared" si="3"/>
        <v>0.96296296296296291</v>
      </c>
      <c r="AO7" s="20">
        <f t="shared" si="3"/>
        <v>0.8666666666666667</v>
      </c>
      <c r="AP7" s="20">
        <f t="shared" si="3"/>
        <v>0.8666666666666667</v>
      </c>
      <c r="AQ7" s="20">
        <f t="shared" si="3"/>
        <v>0.92592592592592593</v>
      </c>
      <c r="AR7" s="20">
        <f t="shared" si="3"/>
        <v>1.7037037037037037</v>
      </c>
      <c r="AS7" s="20">
        <f t="shared" si="6"/>
        <v>1.096774193548387</v>
      </c>
      <c r="AT7" s="20">
        <f t="shared" si="6"/>
        <v>1.2592592592592593</v>
      </c>
      <c r="AU7" s="20">
        <f t="shared" si="6"/>
        <v>1.3333333333333333</v>
      </c>
      <c r="AV7" s="20">
        <f t="shared" si="6"/>
        <v>1.2592592592592593</v>
      </c>
      <c r="AW7" s="20">
        <f t="shared" si="6"/>
        <v>1.1333333333333333</v>
      </c>
      <c r="AX7" s="20">
        <f t="shared" si="6"/>
        <v>1.096774193548387</v>
      </c>
      <c r="AY7" s="20">
        <f t="shared" si="6"/>
        <v>1.2222222222222223</v>
      </c>
      <c r="AZ7" s="20">
        <f t="shared" si="6"/>
        <v>1.1481481481481481</v>
      </c>
      <c r="BA7" s="20">
        <f t="shared" si="6"/>
        <v>1.1111111111111112</v>
      </c>
      <c r="BB7" s="20">
        <f t="shared" si="6"/>
        <v>1.1111111111111112</v>
      </c>
      <c r="BC7" s="20">
        <f t="shared" si="6"/>
        <v>1.0740740740740742</v>
      </c>
      <c r="BD7" s="20">
        <f t="shared" si="6"/>
        <v>1</v>
      </c>
      <c r="BE7" s="20">
        <f t="shared" si="6"/>
        <v>1</v>
      </c>
      <c r="BF7" s="20">
        <f t="shared" si="6"/>
        <v>0.92592592592592593</v>
      </c>
      <c r="BG7" s="20">
        <f t="shared" si="6"/>
        <v>1.0740740740740742</v>
      </c>
      <c r="BH7" s="20">
        <f t="shared" si="6"/>
        <v>1.037037037037037</v>
      </c>
      <c r="BI7" s="20">
        <f t="shared" si="6"/>
        <v>1.037037037037037</v>
      </c>
      <c r="BJ7" s="20">
        <f t="shared" si="6"/>
        <v>1.0357142857142858</v>
      </c>
      <c r="BK7" s="20">
        <f t="shared" si="6"/>
        <v>1.0714285714285714</v>
      </c>
      <c r="BL7" s="20">
        <f t="shared" si="6"/>
        <v>1.0357142857142858</v>
      </c>
      <c r="BM7" s="20">
        <f t="shared" si="6"/>
        <v>0.92592592592592593</v>
      </c>
      <c r="BN7" s="20">
        <f t="shared" si="6"/>
        <v>0.9285714285714286</v>
      </c>
      <c r="BO7" s="20">
        <f t="shared" si="6"/>
        <v>0.92592592592592593</v>
      </c>
      <c r="BP7" s="20">
        <f t="shared" si="6"/>
        <v>0.96</v>
      </c>
      <c r="BQ7" s="20">
        <f t="shared" si="6"/>
        <v>0.88</v>
      </c>
      <c r="BR7" s="20">
        <f t="shared" ref="BR7:EC7" si="7">BR4/BR3</f>
        <v>0.875</v>
      </c>
      <c r="BS7" s="20">
        <f t="shared" si="7"/>
        <v>0.91304347826086951</v>
      </c>
      <c r="BT7" s="20">
        <f t="shared" si="7"/>
        <v>0.86956521739130432</v>
      </c>
      <c r="BU7" s="20">
        <f t="shared" si="7"/>
        <v>0.78260869565217395</v>
      </c>
      <c r="BV7" s="20">
        <f t="shared" si="7"/>
        <v>0.77272727272727271</v>
      </c>
      <c r="BW7" s="20">
        <f t="shared" si="7"/>
        <v>0.72727272727272729</v>
      </c>
      <c r="BX7" s="20">
        <f t="shared" si="7"/>
        <v>1.5555555555555556</v>
      </c>
      <c r="BY7" s="20" t="e">
        <f t="shared" si="7"/>
        <v>#DIV/0!</v>
      </c>
      <c r="BZ7" s="20" t="e">
        <f t="shared" si="7"/>
        <v>#DIV/0!</v>
      </c>
      <c r="CA7" s="20" t="e">
        <f t="shared" si="7"/>
        <v>#DIV/0!</v>
      </c>
      <c r="CB7" s="20" t="e">
        <f t="shared" si="7"/>
        <v>#DIV/0!</v>
      </c>
      <c r="CC7" s="20" t="e">
        <f t="shared" si="7"/>
        <v>#DIV/0!</v>
      </c>
      <c r="CD7" s="20" t="e">
        <f t="shared" si="7"/>
        <v>#DIV/0!</v>
      </c>
      <c r="CE7" s="20" t="e">
        <f t="shared" si="7"/>
        <v>#DIV/0!</v>
      </c>
      <c r="CF7" s="20" t="e">
        <f t="shared" si="7"/>
        <v>#DIV/0!</v>
      </c>
      <c r="CG7" s="20" t="e">
        <f t="shared" si="7"/>
        <v>#DIV/0!</v>
      </c>
      <c r="CH7" s="20" t="e">
        <f t="shared" si="7"/>
        <v>#DIV/0!</v>
      </c>
      <c r="CI7" s="20" t="e">
        <f t="shared" si="7"/>
        <v>#DIV/0!</v>
      </c>
      <c r="CJ7" s="20" t="e">
        <f t="shared" si="7"/>
        <v>#DIV/0!</v>
      </c>
      <c r="CK7" s="20" t="e">
        <f t="shared" si="7"/>
        <v>#DIV/0!</v>
      </c>
      <c r="CL7" s="20" t="e">
        <f t="shared" si="7"/>
        <v>#DIV/0!</v>
      </c>
      <c r="CM7" s="20" t="e">
        <f t="shared" si="7"/>
        <v>#DIV/0!</v>
      </c>
      <c r="CN7" s="20" t="e">
        <f t="shared" si="7"/>
        <v>#DIV/0!</v>
      </c>
      <c r="CO7" s="20" t="e">
        <f t="shared" si="7"/>
        <v>#DIV/0!</v>
      </c>
      <c r="CP7" s="20" t="e">
        <f t="shared" si="7"/>
        <v>#DIV/0!</v>
      </c>
      <c r="CQ7" s="20" t="e">
        <f t="shared" si="7"/>
        <v>#DIV/0!</v>
      </c>
      <c r="CR7" s="20" t="e">
        <f t="shared" si="7"/>
        <v>#DIV/0!</v>
      </c>
      <c r="CS7" s="20" t="e">
        <f t="shared" si="7"/>
        <v>#DIV/0!</v>
      </c>
      <c r="CT7" s="20" t="e">
        <f t="shared" si="7"/>
        <v>#DIV/0!</v>
      </c>
      <c r="CU7" s="20" t="e">
        <f t="shared" si="7"/>
        <v>#DIV/0!</v>
      </c>
      <c r="CV7" s="20" t="e">
        <f t="shared" si="7"/>
        <v>#DIV/0!</v>
      </c>
      <c r="CW7" s="20" t="e">
        <f t="shared" si="7"/>
        <v>#DIV/0!</v>
      </c>
      <c r="CX7" s="20" t="e">
        <f t="shared" si="7"/>
        <v>#DIV/0!</v>
      </c>
      <c r="CY7" s="20" t="e">
        <f t="shared" si="7"/>
        <v>#DIV/0!</v>
      </c>
      <c r="CZ7" s="20" t="e">
        <f t="shared" si="7"/>
        <v>#DIV/0!</v>
      </c>
      <c r="DA7" s="20" t="e">
        <f t="shared" si="7"/>
        <v>#DIV/0!</v>
      </c>
      <c r="DB7" s="20" t="e">
        <f t="shared" si="7"/>
        <v>#DIV/0!</v>
      </c>
      <c r="DC7" s="20" t="e">
        <f t="shared" si="7"/>
        <v>#DIV/0!</v>
      </c>
      <c r="DD7" s="20" t="e">
        <f t="shared" si="7"/>
        <v>#DIV/0!</v>
      </c>
      <c r="DE7" s="20" t="e">
        <f t="shared" si="7"/>
        <v>#DIV/0!</v>
      </c>
      <c r="DF7" s="20" t="e">
        <f t="shared" si="7"/>
        <v>#DIV/0!</v>
      </c>
      <c r="DG7" s="20" t="e">
        <f t="shared" si="7"/>
        <v>#DIV/0!</v>
      </c>
      <c r="DH7" s="20" t="e">
        <f t="shared" si="7"/>
        <v>#DIV/0!</v>
      </c>
      <c r="DI7" s="20" t="e">
        <f t="shared" si="7"/>
        <v>#DIV/0!</v>
      </c>
      <c r="DJ7" s="20" t="e">
        <f t="shared" si="7"/>
        <v>#DIV/0!</v>
      </c>
      <c r="DK7" s="20" t="e">
        <f t="shared" si="7"/>
        <v>#DIV/0!</v>
      </c>
      <c r="DL7" s="20" t="e">
        <f t="shared" si="7"/>
        <v>#DIV/0!</v>
      </c>
      <c r="DM7" s="20" t="e">
        <f t="shared" si="7"/>
        <v>#DIV/0!</v>
      </c>
      <c r="DN7" s="20" t="e">
        <f t="shared" si="7"/>
        <v>#DIV/0!</v>
      </c>
      <c r="DO7" s="20" t="e">
        <f t="shared" si="7"/>
        <v>#DIV/0!</v>
      </c>
      <c r="DP7" s="20" t="e">
        <f t="shared" si="7"/>
        <v>#DIV/0!</v>
      </c>
      <c r="DQ7" s="20" t="e">
        <f t="shared" si="7"/>
        <v>#DIV/0!</v>
      </c>
      <c r="DR7" s="20" t="e">
        <f t="shared" si="7"/>
        <v>#DIV/0!</v>
      </c>
      <c r="DS7" s="20" t="e">
        <f t="shared" si="7"/>
        <v>#DIV/0!</v>
      </c>
      <c r="DT7" s="20" t="e">
        <f t="shared" si="7"/>
        <v>#DIV/0!</v>
      </c>
      <c r="DU7" s="20" t="e">
        <f t="shared" si="7"/>
        <v>#DIV/0!</v>
      </c>
      <c r="DV7" s="20" t="e">
        <f t="shared" si="7"/>
        <v>#DIV/0!</v>
      </c>
      <c r="DW7" s="20" t="e">
        <f t="shared" si="7"/>
        <v>#DIV/0!</v>
      </c>
      <c r="DX7" s="20" t="e">
        <f t="shared" si="7"/>
        <v>#DIV/0!</v>
      </c>
      <c r="DY7" s="20" t="e">
        <f t="shared" si="7"/>
        <v>#DIV/0!</v>
      </c>
      <c r="DZ7" s="20" t="e">
        <f t="shared" si="7"/>
        <v>#DIV/0!</v>
      </c>
      <c r="EA7" s="20" t="e">
        <f t="shared" si="7"/>
        <v>#DIV/0!</v>
      </c>
      <c r="EB7" s="20" t="e">
        <f t="shared" si="7"/>
        <v>#DIV/0!</v>
      </c>
      <c r="EC7" s="20" t="e">
        <f t="shared" si="7"/>
        <v>#DIV/0!</v>
      </c>
      <c r="ED7" s="20" t="e">
        <f t="shared" ref="ED7:EY7" si="8">ED4/ED3</f>
        <v>#DIV/0!</v>
      </c>
      <c r="EE7" s="20" t="e">
        <f t="shared" si="8"/>
        <v>#DIV/0!</v>
      </c>
      <c r="EF7" s="20" t="e">
        <f t="shared" si="8"/>
        <v>#DIV/0!</v>
      </c>
      <c r="EG7" s="20" t="e">
        <f t="shared" si="8"/>
        <v>#DIV/0!</v>
      </c>
      <c r="EH7" s="20" t="e">
        <f t="shared" si="8"/>
        <v>#DIV/0!</v>
      </c>
      <c r="EI7" s="20" t="e">
        <f t="shared" si="8"/>
        <v>#DIV/0!</v>
      </c>
      <c r="EJ7" s="20" t="e">
        <f t="shared" si="8"/>
        <v>#DIV/0!</v>
      </c>
      <c r="EK7" s="20" t="e">
        <f t="shared" si="8"/>
        <v>#DIV/0!</v>
      </c>
      <c r="EL7" s="20" t="e">
        <f t="shared" si="8"/>
        <v>#DIV/0!</v>
      </c>
      <c r="EM7" s="20" t="e">
        <f t="shared" si="8"/>
        <v>#DIV/0!</v>
      </c>
      <c r="EN7" s="20" t="e">
        <f t="shared" si="8"/>
        <v>#DIV/0!</v>
      </c>
      <c r="EO7" s="20" t="e">
        <f t="shared" si="8"/>
        <v>#DIV/0!</v>
      </c>
      <c r="EP7" s="20" t="e">
        <f t="shared" si="8"/>
        <v>#DIV/0!</v>
      </c>
      <c r="EQ7" s="20" t="e">
        <f t="shared" si="8"/>
        <v>#DIV/0!</v>
      </c>
      <c r="ER7" s="20" t="e">
        <f t="shared" si="8"/>
        <v>#DIV/0!</v>
      </c>
      <c r="ES7" s="20" t="e">
        <f t="shared" si="8"/>
        <v>#DIV/0!</v>
      </c>
      <c r="ET7" s="20" t="e">
        <f t="shared" si="8"/>
        <v>#DIV/0!</v>
      </c>
      <c r="EU7" s="20" t="e">
        <f t="shared" si="8"/>
        <v>#DIV/0!</v>
      </c>
      <c r="EV7" s="20" t="e">
        <f t="shared" si="8"/>
        <v>#DIV/0!</v>
      </c>
      <c r="EW7" s="20" t="e">
        <f t="shared" si="8"/>
        <v>#DIV/0!</v>
      </c>
      <c r="EX7" s="20" t="e">
        <f t="shared" si="8"/>
        <v>#DIV/0!</v>
      </c>
      <c r="EY7" s="20" t="e">
        <f t="shared" si="8"/>
        <v>#DIV/0!</v>
      </c>
    </row>
    <row r="8" spans="1:155" hidden="1" outlineLevel="1" x14ac:dyDescent="0.3">
      <c r="T8" s="11"/>
    </row>
    <row r="9" spans="1:155" collapsed="1" x14ac:dyDescent="0.3">
      <c r="A9" s="40" t="s">
        <v>44</v>
      </c>
      <c r="B9" s="40" t="s">
        <v>44</v>
      </c>
      <c r="C9" s="40" t="s">
        <v>8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32">
        <v>228</v>
      </c>
      <c r="DG9" s="16">
        <v>228</v>
      </c>
      <c r="DH9" s="16">
        <v>248</v>
      </c>
      <c r="DI9" s="16">
        <v>248</v>
      </c>
      <c r="DJ9" s="16">
        <v>248</v>
      </c>
      <c r="DK9" s="16">
        <v>238</v>
      </c>
      <c r="DL9" s="16">
        <v>238</v>
      </c>
      <c r="DM9" s="16">
        <v>285</v>
      </c>
      <c r="DN9" s="16">
        <v>285</v>
      </c>
      <c r="DO9" s="16">
        <v>306</v>
      </c>
      <c r="DP9" s="16">
        <v>306</v>
      </c>
      <c r="DQ9" s="16">
        <v>306</v>
      </c>
      <c r="DR9" s="16">
        <v>306</v>
      </c>
      <c r="DS9" s="16">
        <v>306</v>
      </c>
      <c r="DT9" s="16">
        <v>306</v>
      </c>
      <c r="DU9" s="16">
        <v>306</v>
      </c>
      <c r="DV9" s="16">
        <v>306</v>
      </c>
      <c r="DW9" s="16">
        <v>306</v>
      </c>
      <c r="DX9" s="16">
        <v>306</v>
      </c>
      <c r="DY9" s="16">
        <v>306</v>
      </c>
      <c r="DZ9" s="16">
        <v>306</v>
      </c>
      <c r="EA9" s="16">
        <v>306</v>
      </c>
      <c r="EB9" s="16">
        <v>306</v>
      </c>
      <c r="EC9" s="16">
        <v>306</v>
      </c>
      <c r="ED9" s="16">
        <v>306</v>
      </c>
      <c r="EE9" s="16">
        <v>306</v>
      </c>
      <c r="EF9" s="16">
        <v>306</v>
      </c>
      <c r="EG9" s="16">
        <v>306</v>
      </c>
      <c r="EH9" s="16">
        <v>306</v>
      </c>
      <c r="EI9" s="16">
        <v>306</v>
      </c>
      <c r="EJ9" s="16">
        <v>306</v>
      </c>
      <c r="EK9" s="16">
        <v>306</v>
      </c>
      <c r="EL9" s="16">
        <v>306</v>
      </c>
      <c r="EM9" s="16">
        <v>306</v>
      </c>
      <c r="EN9" s="16">
        <v>306</v>
      </c>
      <c r="EO9" s="16">
        <v>306</v>
      </c>
      <c r="EP9" s="16">
        <v>306</v>
      </c>
      <c r="EQ9" s="16">
        <v>306</v>
      </c>
      <c r="ER9" s="16">
        <v>306</v>
      </c>
      <c r="ES9" s="16">
        <v>306</v>
      </c>
      <c r="ET9" s="16">
        <v>306</v>
      </c>
      <c r="EU9" s="16">
        <v>306</v>
      </c>
      <c r="EV9" s="16">
        <v>306</v>
      </c>
      <c r="EW9" s="16">
        <v>306</v>
      </c>
      <c r="EX9" s="16">
        <v>306</v>
      </c>
      <c r="EY9" s="16">
        <v>306</v>
      </c>
    </row>
    <row r="10" spans="1:155" x14ac:dyDescent="0.3">
      <c r="A10" s="40"/>
      <c r="B10" s="40"/>
      <c r="C10" s="40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2">
        <v>150</v>
      </c>
      <c r="AP10" s="32">
        <v>150</v>
      </c>
      <c r="AQ10" s="32">
        <v>150</v>
      </c>
      <c r="AR10" s="32">
        <v>150</v>
      </c>
      <c r="AS10" s="32">
        <v>150</v>
      </c>
      <c r="AT10" s="32">
        <v>150</v>
      </c>
      <c r="AU10" s="32">
        <v>150</v>
      </c>
      <c r="AV10" s="32">
        <v>150</v>
      </c>
      <c r="AW10" s="32">
        <v>150</v>
      </c>
      <c r="AX10" s="32">
        <v>150</v>
      </c>
      <c r="AY10" s="32">
        <v>150</v>
      </c>
      <c r="AZ10" s="32">
        <v>150</v>
      </c>
      <c r="BA10" s="32">
        <v>150</v>
      </c>
      <c r="BB10" s="32">
        <v>150</v>
      </c>
      <c r="BC10" s="32">
        <v>150</v>
      </c>
      <c r="BD10" s="32">
        <v>150</v>
      </c>
      <c r="BE10" s="32">
        <v>150</v>
      </c>
      <c r="BF10" s="32">
        <v>150</v>
      </c>
      <c r="BG10" s="32">
        <v>166</v>
      </c>
      <c r="BH10" s="32">
        <v>166</v>
      </c>
      <c r="BI10" s="32">
        <v>166</v>
      </c>
      <c r="BJ10" s="32">
        <v>166</v>
      </c>
      <c r="BK10" s="32">
        <v>166</v>
      </c>
      <c r="BL10" s="32">
        <v>166</v>
      </c>
      <c r="BM10" s="32">
        <v>166</v>
      </c>
      <c r="BN10" s="32">
        <v>166</v>
      </c>
      <c r="BO10" s="32">
        <v>166</v>
      </c>
      <c r="BP10" s="32">
        <v>166</v>
      </c>
      <c r="BQ10" s="32">
        <v>166</v>
      </c>
      <c r="BR10" s="32">
        <v>166</v>
      </c>
      <c r="BS10" s="32">
        <v>166</v>
      </c>
      <c r="BT10" s="32">
        <v>154</v>
      </c>
      <c r="BU10" s="32">
        <v>157</v>
      </c>
      <c r="BV10" s="32">
        <v>157</v>
      </c>
      <c r="BW10" s="32">
        <v>157</v>
      </c>
      <c r="BX10" s="32">
        <v>157</v>
      </c>
      <c r="BY10" s="32">
        <v>157</v>
      </c>
      <c r="BZ10" s="32">
        <v>157</v>
      </c>
      <c r="CA10" s="32">
        <v>157</v>
      </c>
      <c r="CB10" s="32">
        <v>169</v>
      </c>
      <c r="CC10" s="32">
        <v>169</v>
      </c>
      <c r="CD10" s="32">
        <v>169</v>
      </c>
      <c r="CE10" s="32">
        <v>169</v>
      </c>
      <c r="CF10" s="32">
        <v>169</v>
      </c>
      <c r="CG10" s="32">
        <v>179</v>
      </c>
      <c r="CH10" s="32">
        <v>179</v>
      </c>
      <c r="CI10" s="32">
        <v>191</v>
      </c>
      <c r="CJ10" s="32">
        <v>196</v>
      </c>
      <c r="CK10" s="32">
        <v>201</v>
      </c>
      <c r="CL10" s="32">
        <v>201</v>
      </c>
      <c r="CM10" s="32">
        <v>201</v>
      </c>
      <c r="CN10" s="32">
        <v>201</v>
      </c>
      <c r="CO10" s="32">
        <v>201</v>
      </c>
      <c r="CP10" s="32">
        <v>201</v>
      </c>
      <c r="CQ10" s="32">
        <v>194</v>
      </c>
      <c r="CR10" s="32">
        <v>194</v>
      </c>
      <c r="CS10" s="32">
        <v>221</v>
      </c>
      <c r="CT10" s="32">
        <v>194</v>
      </c>
      <c r="CU10" s="32">
        <v>194</v>
      </c>
      <c r="CV10" s="32">
        <v>194</v>
      </c>
      <c r="CW10" s="32">
        <v>194</v>
      </c>
      <c r="CX10" s="32">
        <v>194</v>
      </c>
      <c r="CY10" s="32">
        <v>194</v>
      </c>
      <c r="CZ10" s="32">
        <v>213</v>
      </c>
      <c r="DA10" s="32">
        <v>213</v>
      </c>
      <c r="DB10" s="32">
        <v>213</v>
      </c>
      <c r="DC10" s="32">
        <v>213</v>
      </c>
      <c r="DD10" s="32">
        <v>213</v>
      </c>
      <c r="DE10" s="32">
        <v>228</v>
      </c>
      <c r="DF10" s="32">
        <v>228</v>
      </c>
      <c r="DG10" s="32">
        <v>228</v>
      </c>
      <c r="DH10" s="32">
        <v>248</v>
      </c>
      <c r="DI10" s="32">
        <v>248</v>
      </c>
      <c r="DJ10" s="32">
        <v>248</v>
      </c>
      <c r="DK10" s="32">
        <v>238</v>
      </c>
      <c r="DL10" s="32">
        <v>238</v>
      </c>
      <c r="DM10" s="17">
        <v>285</v>
      </c>
      <c r="DN10" s="17">
        <v>285</v>
      </c>
      <c r="DO10" s="17">
        <v>306</v>
      </c>
      <c r="DP10" s="17">
        <v>306</v>
      </c>
      <c r="DQ10" s="17">
        <v>306</v>
      </c>
      <c r="DR10" s="17">
        <v>306</v>
      </c>
      <c r="DS10" s="17">
        <v>306</v>
      </c>
      <c r="DT10" s="17">
        <v>306</v>
      </c>
      <c r="DU10" s="17">
        <v>306</v>
      </c>
      <c r="DV10" s="17">
        <v>306</v>
      </c>
      <c r="DW10" s="17">
        <v>306</v>
      </c>
      <c r="DX10" s="17">
        <v>306</v>
      </c>
      <c r="DY10" s="17">
        <v>306</v>
      </c>
      <c r="DZ10" s="17">
        <v>306</v>
      </c>
      <c r="EA10" s="17">
        <v>306</v>
      </c>
      <c r="EB10" s="17">
        <v>306</v>
      </c>
      <c r="EC10" s="17">
        <v>306</v>
      </c>
      <c r="ED10" s="17">
        <v>306</v>
      </c>
      <c r="EE10" s="17">
        <v>306</v>
      </c>
      <c r="EF10" s="17">
        <v>306</v>
      </c>
      <c r="EG10" s="17">
        <v>306</v>
      </c>
      <c r="EH10" s="17">
        <v>306</v>
      </c>
      <c r="EI10" s="17">
        <v>306</v>
      </c>
      <c r="EJ10" s="17">
        <v>306</v>
      </c>
      <c r="EK10" s="17">
        <v>306</v>
      </c>
      <c r="EL10" s="17">
        <v>306</v>
      </c>
      <c r="EM10" s="17">
        <v>306</v>
      </c>
      <c r="EN10" s="17">
        <v>306</v>
      </c>
      <c r="EO10" s="17">
        <v>306</v>
      </c>
      <c r="EP10" s="17">
        <v>306</v>
      </c>
      <c r="EQ10" s="17">
        <v>306</v>
      </c>
      <c r="ER10" s="17">
        <v>306</v>
      </c>
      <c r="ES10" s="17">
        <v>306</v>
      </c>
      <c r="ET10" s="17">
        <v>306</v>
      </c>
      <c r="EU10" s="17">
        <v>306</v>
      </c>
      <c r="EV10" s="17">
        <v>306</v>
      </c>
      <c r="EW10" s="17">
        <v>306</v>
      </c>
      <c r="EX10" s="17">
        <v>306</v>
      </c>
      <c r="EY10" s="17">
        <v>306</v>
      </c>
    </row>
    <row r="11" spans="1:155" x14ac:dyDescent="0.3">
      <c r="A11" s="40"/>
      <c r="B11" s="40"/>
      <c r="C11" s="40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32">
        <v>162.27858293075684</v>
      </c>
      <c r="AP11" s="32">
        <v>167.89025520909578</v>
      </c>
      <c r="AQ11" s="32">
        <v>167.89025520909578</v>
      </c>
      <c r="AR11" s="32">
        <v>167.89025520909578</v>
      </c>
      <c r="AS11" s="32">
        <v>167.89025520909578</v>
      </c>
      <c r="AT11" s="32">
        <v>167.89025520909578</v>
      </c>
      <c r="AU11" s="32">
        <v>167.89025520909578</v>
      </c>
      <c r="AV11" s="32">
        <v>167.89025520909578</v>
      </c>
      <c r="AW11" s="32">
        <v>167.89025520909578</v>
      </c>
      <c r="AX11" s="32">
        <v>179.11359976577367</v>
      </c>
      <c r="AY11" s="32">
        <v>171.38479658242503</v>
      </c>
      <c r="AZ11" s="32">
        <v>171.38479658242503</v>
      </c>
      <c r="BA11" s="32">
        <v>191</v>
      </c>
      <c r="BB11" s="32">
        <v>169</v>
      </c>
      <c r="BC11" s="32">
        <v>169</v>
      </c>
      <c r="BD11" s="32">
        <v>169</v>
      </c>
      <c r="BE11" s="32">
        <v>169</v>
      </c>
      <c r="BF11" s="32">
        <v>169</v>
      </c>
      <c r="BG11" s="32">
        <v>189</v>
      </c>
      <c r="BH11" s="32">
        <v>189</v>
      </c>
      <c r="BI11" s="32">
        <v>189</v>
      </c>
      <c r="BJ11" s="32">
        <v>187.77701292356886</v>
      </c>
      <c r="BK11" s="32">
        <v>185.32884399551065</v>
      </c>
      <c r="BL11" s="32">
        <v>183</v>
      </c>
      <c r="BM11" s="32">
        <v>183</v>
      </c>
      <c r="BN11" s="32">
        <v>183</v>
      </c>
      <c r="BO11" s="32">
        <v>183</v>
      </c>
      <c r="BP11" s="32">
        <v>183</v>
      </c>
      <c r="BQ11" s="32">
        <v>183</v>
      </c>
      <c r="BR11" s="32">
        <v>183</v>
      </c>
      <c r="BS11" s="32">
        <v>185</v>
      </c>
      <c r="BT11" s="32">
        <v>172</v>
      </c>
      <c r="BU11" s="32">
        <v>186.08053554737461</v>
      </c>
      <c r="BV11" s="32">
        <v>186.08053554737461</v>
      </c>
      <c r="BW11" s="32">
        <v>177.63813273982765</v>
      </c>
      <c r="BX11" s="32">
        <v>177.63813273982765</v>
      </c>
      <c r="BY11" s="32">
        <v>173</v>
      </c>
      <c r="BZ11" s="32">
        <v>173</v>
      </c>
      <c r="CA11" s="32">
        <v>173</v>
      </c>
      <c r="CB11" s="32">
        <v>186.23631931193347</v>
      </c>
      <c r="CC11" s="32">
        <v>186.23631931193347</v>
      </c>
      <c r="CD11" s="32">
        <v>186.23631931193347</v>
      </c>
      <c r="CE11" s="32">
        <v>186.23631931193347</v>
      </c>
      <c r="CF11" s="32">
        <v>186.23631931193347</v>
      </c>
      <c r="CG11" s="32">
        <v>199</v>
      </c>
      <c r="CH11" s="32">
        <v>199</v>
      </c>
      <c r="CI11" s="32">
        <v>212</v>
      </c>
      <c r="CJ11" s="32">
        <v>218</v>
      </c>
      <c r="CK11" s="32">
        <v>223</v>
      </c>
      <c r="CL11" s="32">
        <v>223</v>
      </c>
      <c r="CM11" s="32">
        <v>223</v>
      </c>
      <c r="CN11" s="32">
        <v>201</v>
      </c>
      <c r="CO11" s="32">
        <v>201</v>
      </c>
      <c r="CP11" s="32">
        <v>201</v>
      </c>
      <c r="CQ11" s="32">
        <v>194</v>
      </c>
      <c r="CR11" s="32">
        <v>194</v>
      </c>
      <c r="CS11" s="32">
        <v>242.66539011734363</v>
      </c>
      <c r="CT11" s="32">
        <v>194</v>
      </c>
      <c r="CU11" s="32">
        <v>194</v>
      </c>
      <c r="CV11" s="32">
        <v>194</v>
      </c>
      <c r="CW11" s="32">
        <v>194</v>
      </c>
      <c r="CX11" s="32">
        <v>194</v>
      </c>
      <c r="CY11" s="32">
        <v>194</v>
      </c>
      <c r="CZ11" s="32">
        <v>213</v>
      </c>
      <c r="DA11" s="32">
        <v>213</v>
      </c>
      <c r="DB11" s="32">
        <v>213</v>
      </c>
      <c r="DC11" s="32">
        <v>213</v>
      </c>
      <c r="DD11" s="32">
        <v>213</v>
      </c>
      <c r="DE11" s="32">
        <v>228</v>
      </c>
      <c r="DF11" s="22">
        <v>228</v>
      </c>
      <c r="DG11" s="22">
        <v>228</v>
      </c>
      <c r="DH11" s="22">
        <v>228</v>
      </c>
      <c r="DI11" s="22">
        <v>248</v>
      </c>
      <c r="DJ11" s="22">
        <v>256</v>
      </c>
      <c r="DK11" s="22">
        <v>246</v>
      </c>
      <c r="DL11" s="22">
        <v>253</v>
      </c>
      <c r="DM11" s="22">
        <v>294</v>
      </c>
      <c r="DN11" s="22">
        <v>295</v>
      </c>
      <c r="DO11" s="22">
        <v>322</v>
      </c>
      <c r="DP11" s="22">
        <v>322</v>
      </c>
      <c r="DQ11" s="22">
        <v>321</v>
      </c>
      <c r="DR11" s="22">
        <v>321</v>
      </c>
      <c r="DS11" s="22">
        <v>326</v>
      </c>
      <c r="DT11" s="22">
        <v>305</v>
      </c>
      <c r="DU11" s="22">
        <v>305</v>
      </c>
      <c r="DV11" s="22">
        <v>305</v>
      </c>
      <c r="DW11" s="22">
        <v>305</v>
      </c>
      <c r="DX11" s="22">
        <v>305</v>
      </c>
      <c r="DY11" s="22">
        <v>325</v>
      </c>
      <c r="DZ11" s="22">
        <v>305</v>
      </c>
      <c r="EA11" s="22">
        <v>315</v>
      </c>
      <c r="EB11" s="22">
        <v>315</v>
      </c>
      <c r="EC11" s="22">
        <v>328</v>
      </c>
      <c r="ED11" s="22">
        <v>330</v>
      </c>
      <c r="EE11" s="22">
        <v>332</v>
      </c>
      <c r="EF11" s="22">
        <v>332</v>
      </c>
      <c r="EG11" s="22">
        <v>319</v>
      </c>
      <c r="EH11" s="22">
        <v>321</v>
      </c>
      <c r="EI11" s="22">
        <v>321</v>
      </c>
      <c r="EJ11" s="22">
        <v>321</v>
      </c>
      <c r="EK11" s="22">
        <v>336</v>
      </c>
      <c r="EL11" s="22">
        <v>336</v>
      </c>
      <c r="EM11" s="22">
        <v>336</v>
      </c>
      <c r="EN11" s="22">
        <v>336</v>
      </c>
      <c r="EO11" s="22">
        <v>336</v>
      </c>
      <c r="EP11" s="22">
        <v>336</v>
      </c>
      <c r="EQ11" s="22">
        <v>336</v>
      </c>
      <c r="ER11" s="22">
        <v>336</v>
      </c>
      <c r="ES11" s="22">
        <v>336</v>
      </c>
      <c r="ET11" s="22">
        <v>336</v>
      </c>
      <c r="EU11" s="22"/>
      <c r="EV11" s="22"/>
      <c r="EW11" s="22"/>
      <c r="EX11" s="22"/>
      <c r="EY11" s="22"/>
    </row>
    <row r="12" spans="1:155" x14ac:dyDescent="0.3">
      <c r="A12" s="40"/>
      <c r="B12" s="40"/>
      <c r="C12" s="40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33">
        <v>176</v>
      </c>
      <c r="AP12" s="33">
        <v>188</v>
      </c>
      <c r="AQ12" s="33">
        <v>183</v>
      </c>
      <c r="AR12" s="33">
        <v>183</v>
      </c>
      <c r="AS12" s="33">
        <v>182</v>
      </c>
      <c r="AT12" s="33">
        <v>180</v>
      </c>
      <c r="AU12" s="33">
        <v>181</v>
      </c>
      <c r="AV12" s="33">
        <v>179</v>
      </c>
      <c r="AW12" s="33">
        <v>177</v>
      </c>
      <c r="AX12" s="33">
        <v>174</v>
      </c>
      <c r="AY12" s="33">
        <v>177</v>
      </c>
      <c r="AZ12" s="33">
        <v>171</v>
      </c>
      <c r="BA12" s="33">
        <v>169</v>
      </c>
      <c r="BB12" s="33">
        <v>166</v>
      </c>
      <c r="BC12" s="33">
        <v>183</v>
      </c>
      <c r="BD12" s="33">
        <v>179</v>
      </c>
      <c r="BE12" s="33">
        <v>173</v>
      </c>
      <c r="BF12" s="33">
        <v>171</v>
      </c>
      <c r="BG12" s="33">
        <v>188</v>
      </c>
      <c r="BH12" s="33">
        <v>185</v>
      </c>
      <c r="BI12" s="33">
        <v>179</v>
      </c>
      <c r="BJ12" s="33">
        <v>175</v>
      </c>
      <c r="BK12" s="33">
        <v>187</v>
      </c>
      <c r="BL12" s="33">
        <v>184</v>
      </c>
      <c r="BM12" s="33">
        <v>183</v>
      </c>
      <c r="BN12" s="33">
        <v>182</v>
      </c>
      <c r="BO12" s="33">
        <v>199</v>
      </c>
      <c r="BP12" s="33">
        <v>198</v>
      </c>
      <c r="BQ12" s="33">
        <v>194</v>
      </c>
      <c r="BR12" s="33">
        <v>193</v>
      </c>
      <c r="BS12" s="33">
        <v>209</v>
      </c>
      <c r="BT12" s="33">
        <v>190</v>
      </c>
      <c r="BU12" s="33">
        <v>190</v>
      </c>
      <c r="BV12" s="33">
        <v>186</v>
      </c>
      <c r="BW12" s="33">
        <v>182</v>
      </c>
      <c r="BX12" s="33">
        <v>194</v>
      </c>
      <c r="BY12" s="33">
        <v>192</v>
      </c>
      <c r="BZ12" s="33">
        <v>189</v>
      </c>
      <c r="CA12" s="33">
        <v>186</v>
      </c>
      <c r="CB12" s="33">
        <v>174.20783599999999</v>
      </c>
      <c r="CC12" s="33">
        <v>171.50751199999999</v>
      </c>
      <c r="CD12" s="33">
        <v>171.50751199999999</v>
      </c>
      <c r="CE12" s="33">
        <v>165</v>
      </c>
      <c r="CF12" s="33">
        <v>172</v>
      </c>
      <c r="CG12" s="33">
        <v>212</v>
      </c>
      <c r="CH12" s="33">
        <v>192</v>
      </c>
      <c r="CI12" s="33">
        <v>197</v>
      </c>
      <c r="CJ12" s="33">
        <v>167</v>
      </c>
      <c r="CK12" s="33">
        <v>195</v>
      </c>
      <c r="CL12" s="33">
        <v>189</v>
      </c>
      <c r="CM12" s="33">
        <v>186</v>
      </c>
      <c r="CN12" s="33">
        <v>203</v>
      </c>
      <c r="CO12" s="33">
        <v>217</v>
      </c>
      <c r="CP12" s="33">
        <v>215</v>
      </c>
      <c r="CQ12" s="33">
        <v>210</v>
      </c>
      <c r="CR12" s="33">
        <v>210</v>
      </c>
      <c r="CS12" s="33">
        <v>233</v>
      </c>
      <c r="CT12" s="33">
        <v>230</v>
      </c>
      <c r="CU12" s="33">
        <v>228</v>
      </c>
      <c r="CV12" s="33">
        <v>224</v>
      </c>
      <c r="CW12" s="33">
        <v>221</v>
      </c>
      <c r="CX12" s="33">
        <v>246</v>
      </c>
      <c r="CY12" s="33">
        <v>219</v>
      </c>
      <c r="CZ12" s="33">
        <v>233</v>
      </c>
      <c r="DA12" s="33">
        <v>229</v>
      </c>
      <c r="DB12" s="33">
        <v>227</v>
      </c>
      <c r="DC12" s="33">
        <v>252</v>
      </c>
      <c r="DD12" s="33">
        <v>237</v>
      </c>
      <c r="DE12" s="33">
        <v>248</v>
      </c>
      <c r="DF12" s="33">
        <v>239</v>
      </c>
      <c r="DG12" s="33">
        <v>230.41499999999999</v>
      </c>
      <c r="DH12" s="33">
        <v>231</v>
      </c>
      <c r="DI12" s="33">
        <v>246</v>
      </c>
      <c r="DJ12" s="33">
        <v>225.5</v>
      </c>
      <c r="DK12" s="33">
        <v>235</v>
      </c>
      <c r="DL12" s="33">
        <v>269.51249999999999</v>
      </c>
      <c r="DM12" s="22">
        <v>285.93200000000002</v>
      </c>
      <c r="DN12" s="22">
        <v>285</v>
      </c>
      <c r="DO12" s="22">
        <v>303</v>
      </c>
      <c r="DP12" s="22">
        <v>296</v>
      </c>
      <c r="DQ12" s="22">
        <v>315.58</v>
      </c>
      <c r="DR12" s="22">
        <v>329</v>
      </c>
      <c r="DS12" s="22">
        <v>327.24</v>
      </c>
      <c r="DT12" s="22">
        <v>315.995</v>
      </c>
      <c r="DU12" s="22">
        <v>310</v>
      </c>
      <c r="DV12" s="22">
        <v>324</v>
      </c>
      <c r="DW12" s="22">
        <v>321.12</v>
      </c>
      <c r="DX12" s="22">
        <v>313.12</v>
      </c>
      <c r="DY12" s="22">
        <v>311</v>
      </c>
      <c r="DZ12" s="22">
        <v>325</v>
      </c>
      <c r="EA12" s="22">
        <v>301</v>
      </c>
      <c r="EB12" s="22">
        <v>299</v>
      </c>
      <c r="EC12" s="22">
        <v>290</v>
      </c>
      <c r="ED12" s="22">
        <v>280</v>
      </c>
      <c r="EE12" s="22">
        <v>271</v>
      </c>
      <c r="EF12" s="22">
        <v>268.40999999999997</v>
      </c>
      <c r="EG12" s="22">
        <v>266.35199999999998</v>
      </c>
      <c r="EH12" s="22">
        <v>259.21006</v>
      </c>
      <c r="EI12" s="22">
        <v>273.04518025695313</v>
      </c>
      <c r="EJ12" s="22">
        <v>270.03629318267497</v>
      </c>
      <c r="EK12" s="22">
        <v>297.00735366922652</v>
      </c>
      <c r="EL12" s="22">
        <v>289.94647923923799</v>
      </c>
      <c r="EM12" s="22">
        <v>287.31011974425326</v>
      </c>
      <c r="EN12" s="22">
        <v>325.87535729456107</v>
      </c>
      <c r="EO12" s="22">
        <v>323.67861515956605</v>
      </c>
      <c r="EP12" s="22">
        <v>315.70666298082574</v>
      </c>
      <c r="EQ12" s="22">
        <v>312.4918552476222</v>
      </c>
      <c r="ER12" s="22">
        <v>308.88001839587622</v>
      </c>
      <c r="ES12" s="22">
        <v>305.79251704890754</v>
      </c>
      <c r="ET12" s="22">
        <v>299.65850627840388</v>
      </c>
      <c r="EU12" s="22">
        <f t="shared" ref="ET12:EY12" si="9">EU11</f>
        <v>0</v>
      </c>
      <c r="EV12" s="22">
        <f t="shared" si="9"/>
        <v>0</v>
      </c>
      <c r="EW12" s="22">
        <f t="shared" si="9"/>
        <v>0</v>
      </c>
      <c r="EX12" s="22">
        <f t="shared" si="9"/>
        <v>0</v>
      </c>
      <c r="EY12" s="22">
        <f t="shared" si="9"/>
        <v>0</v>
      </c>
    </row>
    <row r="13" spans="1:155" x14ac:dyDescent="0.3">
      <c r="A13" s="40"/>
      <c r="B13" s="40"/>
      <c r="C13" s="40"/>
      <c r="D13" s="15" t="s">
        <v>16</v>
      </c>
      <c r="E13" s="19" t="e">
        <f t="shared" ref="E13:AR14" si="10">E11/E9</f>
        <v>#DIV/0!</v>
      </c>
      <c r="F13" s="19" t="e">
        <f t="shared" si="10"/>
        <v>#DIV/0!</v>
      </c>
      <c r="G13" s="19" t="e">
        <f t="shared" si="10"/>
        <v>#DIV/0!</v>
      </c>
      <c r="H13" s="19" t="e">
        <f t="shared" si="10"/>
        <v>#DIV/0!</v>
      </c>
      <c r="I13" s="19" t="e">
        <f t="shared" si="10"/>
        <v>#DIV/0!</v>
      </c>
      <c r="J13" s="19" t="e">
        <f t="shared" si="10"/>
        <v>#DIV/0!</v>
      </c>
      <c r="K13" s="19" t="e">
        <f t="shared" si="10"/>
        <v>#DIV/0!</v>
      </c>
      <c r="L13" s="19" t="e">
        <f t="shared" si="10"/>
        <v>#DIV/0!</v>
      </c>
      <c r="M13" s="19" t="e">
        <f t="shared" si="10"/>
        <v>#DIV/0!</v>
      </c>
      <c r="N13" s="19" t="e">
        <f t="shared" si="10"/>
        <v>#DIV/0!</v>
      </c>
      <c r="O13" s="19" t="e">
        <f t="shared" si="10"/>
        <v>#DIV/0!</v>
      </c>
      <c r="P13" s="19" t="e">
        <f t="shared" si="10"/>
        <v>#DIV/0!</v>
      </c>
      <c r="Q13" s="19" t="e">
        <f t="shared" si="10"/>
        <v>#DIV/0!</v>
      </c>
      <c r="R13" s="19" t="e">
        <f t="shared" si="10"/>
        <v>#DIV/0!</v>
      </c>
      <c r="S13" s="19" t="e">
        <f t="shared" si="10"/>
        <v>#DIV/0!</v>
      </c>
      <c r="T13" s="19" t="e">
        <f t="shared" si="10"/>
        <v>#DIV/0!</v>
      </c>
      <c r="U13" s="19" t="e">
        <f t="shared" si="10"/>
        <v>#DIV/0!</v>
      </c>
      <c r="V13" s="19" t="e">
        <f t="shared" si="10"/>
        <v>#DIV/0!</v>
      </c>
      <c r="W13" s="19" t="e">
        <f t="shared" si="10"/>
        <v>#DIV/0!</v>
      </c>
      <c r="X13" s="19" t="e">
        <f t="shared" si="10"/>
        <v>#DIV/0!</v>
      </c>
      <c r="Y13" s="19" t="e">
        <f t="shared" si="10"/>
        <v>#DIV/0!</v>
      </c>
      <c r="Z13" s="19" t="e">
        <f t="shared" si="10"/>
        <v>#DIV/0!</v>
      </c>
      <c r="AA13" s="19" t="e">
        <f t="shared" si="10"/>
        <v>#DIV/0!</v>
      </c>
      <c r="AB13" s="19" t="e">
        <f t="shared" si="10"/>
        <v>#DIV/0!</v>
      </c>
      <c r="AC13" s="19" t="e">
        <f t="shared" si="10"/>
        <v>#DIV/0!</v>
      </c>
      <c r="AD13" s="19" t="e">
        <f t="shared" si="10"/>
        <v>#DIV/0!</v>
      </c>
      <c r="AE13" s="19" t="e">
        <f t="shared" si="10"/>
        <v>#DIV/0!</v>
      </c>
      <c r="AF13" s="19" t="e">
        <f t="shared" si="10"/>
        <v>#DIV/0!</v>
      </c>
      <c r="AG13" s="19" t="e">
        <f t="shared" si="10"/>
        <v>#DIV/0!</v>
      </c>
      <c r="AH13" s="19" t="e">
        <f t="shared" si="10"/>
        <v>#DIV/0!</v>
      </c>
      <c r="AI13" s="19" t="e">
        <f t="shared" si="10"/>
        <v>#DIV/0!</v>
      </c>
      <c r="AJ13" s="19" t="e">
        <f t="shared" si="10"/>
        <v>#DIV/0!</v>
      </c>
      <c r="AK13" s="19" t="e">
        <f t="shared" si="10"/>
        <v>#DIV/0!</v>
      </c>
      <c r="AL13" s="19" t="e">
        <f t="shared" si="10"/>
        <v>#DIV/0!</v>
      </c>
      <c r="AM13" s="19" t="e">
        <f t="shared" si="10"/>
        <v>#DIV/0!</v>
      </c>
      <c r="AN13" s="19" t="e">
        <f t="shared" si="10"/>
        <v>#DIV/0!</v>
      </c>
      <c r="AO13" s="19">
        <f>IFERROR(AO11/AO9,0)</f>
        <v>0</v>
      </c>
      <c r="AP13" s="19">
        <f t="shared" ref="AP13:DA13" si="11">IFERROR(AP11/AP9,0)</f>
        <v>0</v>
      </c>
      <c r="AQ13" s="19">
        <f t="shared" si="11"/>
        <v>0</v>
      </c>
      <c r="AR13" s="19">
        <f t="shared" si="11"/>
        <v>0</v>
      </c>
      <c r="AS13" s="19">
        <f t="shared" si="11"/>
        <v>0</v>
      </c>
      <c r="AT13" s="19">
        <f t="shared" si="11"/>
        <v>0</v>
      </c>
      <c r="AU13" s="19">
        <f t="shared" si="11"/>
        <v>0</v>
      </c>
      <c r="AV13" s="19">
        <f t="shared" si="11"/>
        <v>0</v>
      </c>
      <c r="AW13" s="19">
        <f t="shared" si="11"/>
        <v>0</v>
      </c>
      <c r="AX13" s="19">
        <f t="shared" si="11"/>
        <v>0</v>
      </c>
      <c r="AY13" s="19">
        <f t="shared" si="11"/>
        <v>0</v>
      </c>
      <c r="AZ13" s="19">
        <f t="shared" si="11"/>
        <v>0</v>
      </c>
      <c r="BA13" s="19">
        <f t="shared" si="11"/>
        <v>0</v>
      </c>
      <c r="BB13" s="19">
        <f t="shared" si="11"/>
        <v>0</v>
      </c>
      <c r="BC13" s="19">
        <f t="shared" si="11"/>
        <v>0</v>
      </c>
      <c r="BD13" s="19">
        <f t="shared" si="11"/>
        <v>0</v>
      </c>
      <c r="BE13" s="19">
        <f t="shared" si="11"/>
        <v>0</v>
      </c>
      <c r="BF13" s="19">
        <f t="shared" si="11"/>
        <v>0</v>
      </c>
      <c r="BG13" s="19">
        <f t="shared" si="11"/>
        <v>0</v>
      </c>
      <c r="BH13" s="19">
        <f t="shared" si="11"/>
        <v>0</v>
      </c>
      <c r="BI13" s="19">
        <f t="shared" si="11"/>
        <v>0</v>
      </c>
      <c r="BJ13" s="19">
        <f t="shared" si="11"/>
        <v>0</v>
      </c>
      <c r="BK13" s="19">
        <f t="shared" si="11"/>
        <v>0</v>
      </c>
      <c r="BL13" s="19">
        <f t="shared" si="11"/>
        <v>0</v>
      </c>
      <c r="BM13" s="19">
        <f t="shared" si="11"/>
        <v>0</v>
      </c>
      <c r="BN13" s="19">
        <f t="shared" si="11"/>
        <v>0</v>
      </c>
      <c r="BO13" s="19">
        <f t="shared" si="11"/>
        <v>0</v>
      </c>
      <c r="BP13" s="19">
        <f t="shared" si="11"/>
        <v>0</v>
      </c>
      <c r="BQ13" s="19">
        <f t="shared" si="11"/>
        <v>0</v>
      </c>
      <c r="BR13" s="19">
        <f t="shared" si="11"/>
        <v>0</v>
      </c>
      <c r="BS13" s="19">
        <f t="shared" si="11"/>
        <v>0</v>
      </c>
      <c r="BT13" s="19">
        <f t="shared" si="11"/>
        <v>0</v>
      </c>
      <c r="BU13" s="19">
        <f t="shared" si="11"/>
        <v>0</v>
      </c>
      <c r="BV13" s="19">
        <f t="shared" si="11"/>
        <v>0</v>
      </c>
      <c r="BW13" s="19">
        <f t="shared" si="11"/>
        <v>0</v>
      </c>
      <c r="BX13" s="19">
        <f t="shared" si="11"/>
        <v>0</v>
      </c>
      <c r="BY13" s="19">
        <f t="shared" si="11"/>
        <v>0</v>
      </c>
      <c r="BZ13" s="19">
        <f t="shared" si="11"/>
        <v>0</v>
      </c>
      <c r="CA13" s="19">
        <f t="shared" si="11"/>
        <v>0</v>
      </c>
      <c r="CB13" s="19">
        <f t="shared" si="11"/>
        <v>0</v>
      </c>
      <c r="CC13" s="19">
        <f t="shared" si="11"/>
        <v>0</v>
      </c>
      <c r="CD13" s="19">
        <f t="shared" si="11"/>
        <v>0</v>
      </c>
      <c r="CE13" s="19">
        <f t="shared" si="11"/>
        <v>0</v>
      </c>
      <c r="CF13" s="19">
        <f t="shared" si="11"/>
        <v>0</v>
      </c>
      <c r="CG13" s="19">
        <f t="shared" si="11"/>
        <v>0</v>
      </c>
      <c r="CH13" s="19">
        <f t="shared" si="11"/>
        <v>0</v>
      </c>
      <c r="CI13" s="19">
        <f t="shared" si="11"/>
        <v>0</v>
      </c>
      <c r="CJ13" s="19">
        <f t="shared" si="11"/>
        <v>0</v>
      </c>
      <c r="CK13" s="19">
        <f t="shared" si="11"/>
        <v>0</v>
      </c>
      <c r="CL13" s="19">
        <f t="shared" si="11"/>
        <v>0</v>
      </c>
      <c r="CM13" s="19">
        <f t="shared" si="11"/>
        <v>0</v>
      </c>
      <c r="CN13" s="19">
        <f t="shared" si="11"/>
        <v>0</v>
      </c>
      <c r="CO13" s="19">
        <f t="shared" si="11"/>
        <v>0</v>
      </c>
      <c r="CP13" s="19">
        <f t="shared" si="11"/>
        <v>0</v>
      </c>
      <c r="CQ13" s="19">
        <f t="shared" si="11"/>
        <v>0</v>
      </c>
      <c r="CR13" s="19">
        <f t="shared" si="11"/>
        <v>0</v>
      </c>
      <c r="CS13" s="19">
        <f t="shared" si="11"/>
        <v>0</v>
      </c>
      <c r="CT13" s="19">
        <f t="shared" si="11"/>
        <v>0</v>
      </c>
      <c r="CU13" s="19">
        <f t="shared" si="11"/>
        <v>0</v>
      </c>
      <c r="CV13" s="19">
        <f t="shared" si="11"/>
        <v>0</v>
      </c>
      <c r="CW13" s="19">
        <f t="shared" si="11"/>
        <v>0</v>
      </c>
      <c r="CX13" s="19">
        <f t="shared" si="11"/>
        <v>0</v>
      </c>
      <c r="CY13" s="19">
        <f t="shared" si="11"/>
        <v>0</v>
      </c>
      <c r="CZ13" s="19">
        <f t="shared" si="11"/>
        <v>0</v>
      </c>
      <c r="DA13" s="19">
        <f t="shared" si="11"/>
        <v>0</v>
      </c>
      <c r="DB13" s="19">
        <f t="shared" ref="DB13:EY13" si="12">IFERROR(DB11/DB9,0)</f>
        <v>0</v>
      </c>
      <c r="DC13" s="19">
        <f t="shared" si="12"/>
        <v>0</v>
      </c>
      <c r="DD13" s="19">
        <f t="shared" si="12"/>
        <v>0</v>
      </c>
      <c r="DE13" s="19">
        <f t="shared" si="12"/>
        <v>0</v>
      </c>
      <c r="DF13" s="19">
        <f t="shared" si="12"/>
        <v>1</v>
      </c>
      <c r="DG13" s="19">
        <f t="shared" si="12"/>
        <v>1</v>
      </c>
      <c r="DH13" s="19">
        <f t="shared" si="12"/>
        <v>0.91935483870967738</v>
      </c>
      <c r="DI13" s="19">
        <f t="shared" si="12"/>
        <v>1</v>
      </c>
      <c r="DJ13" s="19">
        <f t="shared" si="12"/>
        <v>1.032258064516129</v>
      </c>
      <c r="DK13" s="19">
        <f t="shared" si="12"/>
        <v>1.0336134453781514</v>
      </c>
      <c r="DL13" s="19">
        <f t="shared" si="12"/>
        <v>1.0630252100840336</v>
      </c>
      <c r="DM13" s="19">
        <f t="shared" si="12"/>
        <v>1.0315789473684212</v>
      </c>
      <c r="DN13" s="19">
        <f t="shared" si="12"/>
        <v>1.0350877192982457</v>
      </c>
      <c r="DO13" s="19">
        <f t="shared" si="12"/>
        <v>1.0522875816993464</v>
      </c>
      <c r="DP13" s="19">
        <f t="shared" si="12"/>
        <v>1.0522875816993464</v>
      </c>
      <c r="DQ13" s="19">
        <f t="shared" si="12"/>
        <v>1.0490196078431373</v>
      </c>
      <c r="DR13" s="19">
        <f t="shared" si="12"/>
        <v>1.0490196078431373</v>
      </c>
      <c r="DS13" s="19">
        <f t="shared" si="12"/>
        <v>1.065359477124183</v>
      </c>
      <c r="DT13" s="19">
        <f t="shared" si="12"/>
        <v>0.99673202614379086</v>
      </c>
      <c r="DU13" s="19">
        <f t="shared" si="12"/>
        <v>0.99673202614379086</v>
      </c>
      <c r="DV13" s="19">
        <f t="shared" si="12"/>
        <v>0.99673202614379086</v>
      </c>
      <c r="DW13" s="19">
        <f t="shared" si="12"/>
        <v>0.99673202614379086</v>
      </c>
      <c r="DX13" s="19">
        <f t="shared" si="12"/>
        <v>0.99673202614379086</v>
      </c>
      <c r="DY13" s="19">
        <f t="shared" si="12"/>
        <v>1.0620915032679739</v>
      </c>
      <c r="DZ13" s="19">
        <f t="shared" si="12"/>
        <v>0.99673202614379086</v>
      </c>
      <c r="EA13" s="19">
        <f t="shared" si="12"/>
        <v>1.0294117647058822</v>
      </c>
      <c r="EB13" s="19">
        <f t="shared" si="12"/>
        <v>1.0294117647058822</v>
      </c>
      <c r="EC13" s="19">
        <f t="shared" si="12"/>
        <v>1.0718954248366013</v>
      </c>
      <c r="ED13" s="19">
        <f t="shared" si="12"/>
        <v>1.0784313725490196</v>
      </c>
      <c r="EE13" s="19">
        <f t="shared" si="12"/>
        <v>1.0849673202614378</v>
      </c>
      <c r="EF13" s="19">
        <f t="shared" si="12"/>
        <v>1.0849673202614378</v>
      </c>
      <c r="EG13" s="19">
        <f t="shared" si="12"/>
        <v>1.042483660130719</v>
      </c>
      <c r="EH13" s="19">
        <f t="shared" si="12"/>
        <v>1.0490196078431373</v>
      </c>
      <c r="EI13" s="19">
        <f t="shared" si="12"/>
        <v>1.0490196078431373</v>
      </c>
      <c r="EJ13" s="19">
        <f t="shared" si="12"/>
        <v>1.0490196078431373</v>
      </c>
      <c r="EK13" s="19">
        <f t="shared" si="12"/>
        <v>1.0980392156862746</v>
      </c>
      <c r="EL13" s="19">
        <f t="shared" si="12"/>
        <v>1.0980392156862746</v>
      </c>
      <c r="EM13" s="19">
        <f t="shared" si="12"/>
        <v>1.0980392156862746</v>
      </c>
      <c r="EN13" s="19">
        <f t="shared" si="12"/>
        <v>1.0980392156862746</v>
      </c>
      <c r="EO13" s="19">
        <f t="shared" si="12"/>
        <v>1.0980392156862746</v>
      </c>
      <c r="EP13" s="19">
        <f t="shared" si="12"/>
        <v>1.0980392156862746</v>
      </c>
      <c r="EQ13" s="19">
        <f t="shared" si="12"/>
        <v>1.0980392156862746</v>
      </c>
      <c r="ER13" s="19">
        <f t="shared" si="12"/>
        <v>1.0980392156862746</v>
      </c>
      <c r="ES13" s="19">
        <f t="shared" si="12"/>
        <v>1.0980392156862746</v>
      </c>
      <c r="ET13" s="19">
        <f t="shared" si="12"/>
        <v>1.0980392156862746</v>
      </c>
      <c r="EU13" s="19">
        <f t="shared" si="12"/>
        <v>0</v>
      </c>
      <c r="EV13" s="19">
        <f t="shared" si="12"/>
        <v>0</v>
      </c>
      <c r="EW13" s="19">
        <f t="shared" si="12"/>
        <v>0</v>
      </c>
      <c r="EX13" s="19">
        <f t="shared" si="12"/>
        <v>0</v>
      </c>
      <c r="EY13" s="19">
        <f t="shared" si="12"/>
        <v>0</v>
      </c>
    </row>
    <row r="14" spans="1:155" x14ac:dyDescent="0.3">
      <c r="A14" s="40"/>
      <c r="B14" s="40"/>
      <c r="C14" s="40"/>
      <c r="D14" s="15" t="s">
        <v>17</v>
      </c>
      <c r="E14" s="20" t="e">
        <f>E11/E10</f>
        <v>#DIV/0!</v>
      </c>
      <c r="F14" s="20" t="e">
        <f t="shared" ref="F14:AA14" si="13">F11/F10</f>
        <v>#DIV/0!</v>
      </c>
      <c r="G14" s="20" t="e">
        <f t="shared" si="13"/>
        <v>#DIV/0!</v>
      </c>
      <c r="H14" s="20" t="e">
        <f t="shared" si="13"/>
        <v>#DIV/0!</v>
      </c>
      <c r="I14" s="20" t="e">
        <f t="shared" si="13"/>
        <v>#DIV/0!</v>
      </c>
      <c r="J14" s="20" t="e">
        <f t="shared" si="13"/>
        <v>#DIV/0!</v>
      </c>
      <c r="K14" s="20" t="e">
        <f t="shared" si="13"/>
        <v>#DIV/0!</v>
      </c>
      <c r="L14" s="20" t="e">
        <f t="shared" si="13"/>
        <v>#DIV/0!</v>
      </c>
      <c r="M14" s="20" t="e">
        <f t="shared" si="13"/>
        <v>#DIV/0!</v>
      </c>
      <c r="N14" s="20" t="e">
        <f t="shared" si="13"/>
        <v>#DIV/0!</v>
      </c>
      <c r="O14" s="20" t="e">
        <f t="shared" si="13"/>
        <v>#DIV/0!</v>
      </c>
      <c r="P14" s="20" t="e">
        <f t="shared" si="13"/>
        <v>#DIV/0!</v>
      </c>
      <c r="Q14" s="20" t="e">
        <f t="shared" si="13"/>
        <v>#DIV/0!</v>
      </c>
      <c r="R14" s="20" t="e">
        <f t="shared" si="13"/>
        <v>#DIV/0!</v>
      </c>
      <c r="S14" s="20" t="e">
        <f t="shared" si="13"/>
        <v>#DIV/0!</v>
      </c>
      <c r="T14" s="20" t="e">
        <f t="shared" si="13"/>
        <v>#DIV/0!</v>
      </c>
      <c r="U14" s="20" t="e">
        <f t="shared" si="13"/>
        <v>#DIV/0!</v>
      </c>
      <c r="V14" s="20" t="e">
        <f t="shared" si="13"/>
        <v>#DIV/0!</v>
      </c>
      <c r="W14" s="20" t="e">
        <f t="shared" si="13"/>
        <v>#DIV/0!</v>
      </c>
      <c r="X14" s="20" t="e">
        <f t="shared" si="13"/>
        <v>#DIV/0!</v>
      </c>
      <c r="Y14" s="20" t="e">
        <f t="shared" si="13"/>
        <v>#DIV/0!</v>
      </c>
      <c r="Z14" s="20" t="e">
        <f t="shared" si="13"/>
        <v>#DIV/0!</v>
      </c>
      <c r="AA14" s="20" t="e">
        <f t="shared" si="13"/>
        <v>#DIV/0!</v>
      </c>
      <c r="AB14" s="20" t="e">
        <f>AB12/AB10</f>
        <v>#DIV/0!</v>
      </c>
      <c r="AC14" s="20" t="e">
        <f t="shared" si="10"/>
        <v>#DIV/0!</v>
      </c>
      <c r="AD14" s="20" t="e">
        <f t="shared" si="10"/>
        <v>#DIV/0!</v>
      </c>
      <c r="AE14" s="20" t="e">
        <f t="shared" si="10"/>
        <v>#DIV/0!</v>
      </c>
      <c r="AF14" s="20" t="e">
        <f t="shared" si="10"/>
        <v>#DIV/0!</v>
      </c>
      <c r="AG14" s="20" t="e">
        <f t="shared" si="10"/>
        <v>#DIV/0!</v>
      </c>
      <c r="AH14" s="20" t="e">
        <f t="shared" si="10"/>
        <v>#DIV/0!</v>
      </c>
      <c r="AI14" s="20" t="e">
        <f t="shared" si="10"/>
        <v>#DIV/0!</v>
      </c>
      <c r="AJ14" s="20" t="e">
        <f t="shared" si="10"/>
        <v>#DIV/0!</v>
      </c>
      <c r="AK14" s="20" t="e">
        <f t="shared" si="10"/>
        <v>#DIV/0!</v>
      </c>
      <c r="AL14" s="20" t="e">
        <f t="shared" si="10"/>
        <v>#DIV/0!</v>
      </c>
      <c r="AM14" s="20" t="e">
        <f>AM12/AM10</f>
        <v>#DIV/0!</v>
      </c>
      <c r="AN14" s="20" t="e">
        <f t="shared" si="10"/>
        <v>#DIV/0!</v>
      </c>
      <c r="AO14" s="20">
        <f t="shared" si="10"/>
        <v>1.1733333333333333</v>
      </c>
      <c r="AP14" s="20">
        <f t="shared" si="10"/>
        <v>1.2533333333333334</v>
      </c>
      <c r="AQ14" s="20">
        <f t="shared" si="10"/>
        <v>1.22</v>
      </c>
      <c r="AR14" s="20">
        <f t="shared" si="10"/>
        <v>1.22</v>
      </c>
      <c r="AS14" s="20">
        <f t="shared" ref="AS14:DD14" si="14">AS11/AS10</f>
        <v>1.1192683680606386</v>
      </c>
      <c r="AT14" s="20">
        <f t="shared" si="14"/>
        <v>1.1192683680606386</v>
      </c>
      <c r="AU14" s="20">
        <f t="shared" si="14"/>
        <v>1.1192683680606386</v>
      </c>
      <c r="AV14" s="20">
        <f t="shared" si="14"/>
        <v>1.1192683680606386</v>
      </c>
      <c r="AW14" s="20">
        <f t="shared" si="14"/>
        <v>1.1192683680606386</v>
      </c>
      <c r="AX14" s="20">
        <f t="shared" si="14"/>
        <v>1.1940906651051577</v>
      </c>
      <c r="AY14" s="20">
        <f t="shared" si="14"/>
        <v>1.1425653105495002</v>
      </c>
      <c r="AZ14" s="20">
        <f t="shared" si="14"/>
        <v>1.1425653105495002</v>
      </c>
      <c r="BA14" s="20">
        <f t="shared" si="14"/>
        <v>1.2733333333333334</v>
      </c>
      <c r="BB14" s="20">
        <f t="shared" si="14"/>
        <v>1.1266666666666667</v>
      </c>
      <c r="BC14" s="20">
        <f t="shared" si="14"/>
        <v>1.1266666666666667</v>
      </c>
      <c r="BD14" s="20">
        <f t="shared" si="14"/>
        <v>1.1266666666666667</v>
      </c>
      <c r="BE14" s="20">
        <f t="shared" si="14"/>
        <v>1.1266666666666667</v>
      </c>
      <c r="BF14" s="20">
        <f t="shared" si="14"/>
        <v>1.1266666666666667</v>
      </c>
      <c r="BG14" s="20">
        <f t="shared" si="14"/>
        <v>1.1385542168674698</v>
      </c>
      <c r="BH14" s="20">
        <f t="shared" si="14"/>
        <v>1.1385542168674698</v>
      </c>
      <c r="BI14" s="20">
        <f t="shared" si="14"/>
        <v>1.1385542168674698</v>
      </c>
      <c r="BJ14" s="20">
        <f t="shared" si="14"/>
        <v>1.1311868248407764</v>
      </c>
      <c r="BK14" s="20">
        <f t="shared" si="14"/>
        <v>1.1164388192500643</v>
      </c>
      <c r="BL14" s="20">
        <f t="shared" si="14"/>
        <v>1.1024096385542168</v>
      </c>
      <c r="BM14" s="20">
        <f t="shared" si="14"/>
        <v>1.1024096385542168</v>
      </c>
      <c r="BN14" s="20">
        <f t="shared" si="14"/>
        <v>1.1024096385542168</v>
      </c>
      <c r="BO14" s="20">
        <f t="shared" si="14"/>
        <v>1.1024096385542168</v>
      </c>
      <c r="BP14" s="20">
        <f t="shared" si="14"/>
        <v>1.1024096385542168</v>
      </c>
      <c r="BQ14" s="20">
        <f t="shared" si="14"/>
        <v>1.1024096385542168</v>
      </c>
      <c r="BR14" s="20">
        <f t="shared" si="14"/>
        <v>1.1024096385542168</v>
      </c>
      <c r="BS14" s="20">
        <f t="shared" si="14"/>
        <v>1.1144578313253013</v>
      </c>
      <c r="BT14" s="20">
        <f>BT11/BT10</f>
        <v>1.1168831168831168</v>
      </c>
      <c r="BU14" s="20">
        <f t="shared" si="14"/>
        <v>1.1852263410660804</v>
      </c>
      <c r="BV14" s="20">
        <f>BV11/BV10</f>
        <v>1.1852263410660804</v>
      </c>
      <c r="BW14" s="20">
        <f t="shared" si="14"/>
        <v>1.1314530747759723</v>
      </c>
      <c r="BX14" s="20">
        <f t="shared" si="14"/>
        <v>1.1314530747759723</v>
      </c>
      <c r="BY14" s="20">
        <f t="shared" si="14"/>
        <v>1.1019108280254777</v>
      </c>
      <c r="BZ14" s="20">
        <f t="shared" si="14"/>
        <v>1.1019108280254777</v>
      </c>
      <c r="CA14" s="20">
        <f t="shared" si="14"/>
        <v>1.1019108280254777</v>
      </c>
      <c r="CB14" s="20">
        <f t="shared" si="14"/>
        <v>1.101990055100198</v>
      </c>
      <c r="CC14" s="20">
        <f t="shared" si="14"/>
        <v>1.101990055100198</v>
      </c>
      <c r="CD14" s="20">
        <f t="shared" si="14"/>
        <v>1.101990055100198</v>
      </c>
      <c r="CE14" s="20">
        <f t="shared" si="14"/>
        <v>1.101990055100198</v>
      </c>
      <c r="CF14" s="20">
        <f t="shared" si="14"/>
        <v>1.101990055100198</v>
      </c>
      <c r="CG14" s="20">
        <f t="shared" si="14"/>
        <v>1.1117318435754191</v>
      </c>
      <c r="CH14" s="20">
        <f t="shared" si="14"/>
        <v>1.1117318435754191</v>
      </c>
      <c r="CI14" s="20">
        <f t="shared" si="14"/>
        <v>1.1099476439790577</v>
      </c>
      <c r="CJ14" s="20">
        <f t="shared" si="14"/>
        <v>1.1122448979591837</v>
      </c>
      <c r="CK14" s="20">
        <f t="shared" si="14"/>
        <v>1.1094527363184079</v>
      </c>
      <c r="CL14" s="20">
        <f t="shared" si="14"/>
        <v>1.1094527363184079</v>
      </c>
      <c r="CM14" s="20">
        <f t="shared" si="14"/>
        <v>1.1094527363184079</v>
      </c>
      <c r="CN14" s="20">
        <f t="shared" si="14"/>
        <v>1</v>
      </c>
      <c r="CO14" s="20">
        <f t="shared" si="14"/>
        <v>1</v>
      </c>
      <c r="CP14" s="20">
        <f t="shared" si="14"/>
        <v>1</v>
      </c>
      <c r="CQ14" s="20">
        <f t="shared" si="14"/>
        <v>1</v>
      </c>
      <c r="CR14" s="20">
        <f t="shared" si="14"/>
        <v>1</v>
      </c>
      <c r="CS14" s="20">
        <f t="shared" si="14"/>
        <v>1.0980334394449938</v>
      </c>
      <c r="CT14" s="20">
        <f t="shared" si="14"/>
        <v>1</v>
      </c>
      <c r="CU14" s="20">
        <f t="shared" si="14"/>
        <v>1</v>
      </c>
      <c r="CV14" s="20">
        <f t="shared" si="14"/>
        <v>1</v>
      </c>
      <c r="CW14" s="20">
        <f t="shared" si="14"/>
        <v>1</v>
      </c>
      <c r="CX14" s="20">
        <f t="shared" si="14"/>
        <v>1</v>
      </c>
      <c r="CY14" s="20">
        <f t="shared" si="14"/>
        <v>1</v>
      </c>
      <c r="CZ14" s="20">
        <f t="shared" si="14"/>
        <v>1</v>
      </c>
      <c r="DA14" s="20">
        <f t="shared" si="14"/>
        <v>1</v>
      </c>
      <c r="DB14" s="20">
        <f t="shared" si="14"/>
        <v>1</v>
      </c>
      <c r="DC14" s="20">
        <f t="shared" si="14"/>
        <v>1</v>
      </c>
      <c r="DD14" s="20">
        <f t="shared" si="14"/>
        <v>1</v>
      </c>
      <c r="DE14" s="20">
        <f t="shared" ref="DE14:EY14" si="15">DE11/DE10</f>
        <v>1</v>
      </c>
      <c r="DF14" s="20">
        <f t="shared" si="15"/>
        <v>1</v>
      </c>
      <c r="DG14" s="20">
        <f t="shared" si="15"/>
        <v>1</v>
      </c>
      <c r="DH14" s="20">
        <f t="shared" si="15"/>
        <v>0.91935483870967738</v>
      </c>
      <c r="DI14" s="20">
        <f t="shared" si="15"/>
        <v>1</v>
      </c>
      <c r="DJ14" s="20">
        <f t="shared" si="15"/>
        <v>1.032258064516129</v>
      </c>
      <c r="DK14" s="20">
        <f t="shared" si="15"/>
        <v>1.0336134453781514</v>
      </c>
      <c r="DL14" s="20">
        <f t="shared" si="15"/>
        <v>1.0630252100840336</v>
      </c>
      <c r="DM14" s="20">
        <f t="shared" si="15"/>
        <v>1.0315789473684212</v>
      </c>
      <c r="DN14" s="20">
        <f t="shared" si="15"/>
        <v>1.0350877192982457</v>
      </c>
      <c r="DO14" s="20">
        <f t="shared" si="15"/>
        <v>1.0522875816993464</v>
      </c>
      <c r="DP14" s="20">
        <f t="shared" si="15"/>
        <v>1.0522875816993464</v>
      </c>
      <c r="DQ14" s="20">
        <f t="shared" si="15"/>
        <v>1.0490196078431373</v>
      </c>
      <c r="DR14" s="20">
        <f t="shared" si="15"/>
        <v>1.0490196078431373</v>
      </c>
      <c r="DS14" s="20">
        <f t="shared" si="15"/>
        <v>1.065359477124183</v>
      </c>
      <c r="DT14" s="20">
        <f t="shared" si="15"/>
        <v>0.99673202614379086</v>
      </c>
      <c r="DU14" s="20">
        <f t="shared" si="15"/>
        <v>0.99673202614379086</v>
      </c>
      <c r="DV14" s="20">
        <f t="shared" si="15"/>
        <v>0.99673202614379086</v>
      </c>
      <c r="DW14" s="20">
        <f t="shared" si="15"/>
        <v>0.99673202614379086</v>
      </c>
      <c r="DX14" s="20">
        <f t="shared" si="15"/>
        <v>0.99673202614379086</v>
      </c>
      <c r="DY14" s="20">
        <f t="shared" si="15"/>
        <v>1.0620915032679739</v>
      </c>
      <c r="DZ14" s="20">
        <f t="shared" si="15"/>
        <v>0.99673202614379086</v>
      </c>
      <c r="EA14" s="20">
        <f t="shared" si="15"/>
        <v>1.0294117647058822</v>
      </c>
      <c r="EB14" s="20">
        <f t="shared" si="15"/>
        <v>1.0294117647058822</v>
      </c>
      <c r="EC14" s="20">
        <f t="shared" si="15"/>
        <v>1.0718954248366013</v>
      </c>
      <c r="ED14" s="20">
        <f t="shared" si="15"/>
        <v>1.0784313725490196</v>
      </c>
      <c r="EE14" s="20">
        <f t="shared" si="15"/>
        <v>1.0849673202614378</v>
      </c>
      <c r="EF14" s="20">
        <f t="shared" si="15"/>
        <v>1.0849673202614378</v>
      </c>
      <c r="EG14" s="20">
        <f t="shared" si="15"/>
        <v>1.042483660130719</v>
      </c>
      <c r="EH14" s="20">
        <f t="shared" si="15"/>
        <v>1.0490196078431373</v>
      </c>
      <c r="EI14" s="20">
        <f t="shared" si="15"/>
        <v>1.0490196078431373</v>
      </c>
      <c r="EJ14" s="20">
        <f t="shared" si="15"/>
        <v>1.0490196078431373</v>
      </c>
      <c r="EK14" s="20">
        <f t="shared" si="15"/>
        <v>1.0980392156862746</v>
      </c>
      <c r="EL14" s="20">
        <f t="shared" si="15"/>
        <v>1.0980392156862746</v>
      </c>
      <c r="EM14" s="20">
        <f t="shared" si="15"/>
        <v>1.0980392156862746</v>
      </c>
      <c r="EN14" s="20">
        <f t="shared" si="15"/>
        <v>1.0980392156862746</v>
      </c>
      <c r="EO14" s="20">
        <f t="shared" si="15"/>
        <v>1.0980392156862746</v>
      </c>
      <c r="EP14" s="20">
        <f t="shared" si="15"/>
        <v>1.0980392156862746</v>
      </c>
      <c r="EQ14" s="20">
        <f t="shared" si="15"/>
        <v>1.0980392156862746</v>
      </c>
      <c r="ER14" s="20">
        <f t="shared" si="15"/>
        <v>1.0980392156862746</v>
      </c>
      <c r="ES14" s="20">
        <f t="shared" si="15"/>
        <v>1.0980392156862746</v>
      </c>
      <c r="ET14" s="20">
        <f t="shared" si="15"/>
        <v>1.0980392156862746</v>
      </c>
      <c r="EU14" s="20">
        <f t="shared" si="15"/>
        <v>0</v>
      </c>
      <c r="EV14" s="20">
        <f t="shared" si="15"/>
        <v>0</v>
      </c>
      <c r="EW14" s="20">
        <f t="shared" si="15"/>
        <v>0</v>
      </c>
      <c r="EX14" s="20">
        <f t="shared" si="15"/>
        <v>0</v>
      </c>
      <c r="EY14" s="20">
        <f t="shared" si="15"/>
        <v>0</v>
      </c>
    </row>
    <row r="16" spans="1:155" hidden="1" x14ac:dyDescent="0.3">
      <c r="A16" s="36"/>
      <c r="B16" s="36"/>
      <c r="C16" s="37"/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hidden="1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</row>
    <row r="18" spans="1:155" hidden="1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</row>
    <row r="19" spans="1:155" hidden="1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0</v>
      </c>
      <c r="CH19" s="18">
        <f t="shared" ref="CH19:ES19" si="16">CH18</f>
        <v>0</v>
      </c>
      <c r="CI19" s="18">
        <f t="shared" si="16"/>
        <v>0</v>
      </c>
      <c r="CJ19" s="18">
        <f t="shared" si="16"/>
        <v>0</v>
      </c>
      <c r="CK19" s="18">
        <f t="shared" si="16"/>
        <v>0</v>
      </c>
      <c r="CL19" s="18">
        <f t="shared" si="16"/>
        <v>0</v>
      </c>
      <c r="CM19" s="18">
        <f t="shared" si="16"/>
        <v>0</v>
      </c>
      <c r="CN19" s="18">
        <f t="shared" si="16"/>
        <v>0</v>
      </c>
      <c r="CO19" s="22">
        <f t="shared" si="16"/>
        <v>0</v>
      </c>
      <c r="CP19" s="22">
        <f t="shared" si="16"/>
        <v>0</v>
      </c>
      <c r="CQ19" s="22">
        <f t="shared" si="16"/>
        <v>0</v>
      </c>
      <c r="CR19" s="22">
        <f t="shared" si="16"/>
        <v>0</v>
      </c>
      <c r="CS19" s="22">
        <f t="shared" si="16"/>
        <v>0</v>
      </c>
      <c r="CT19" s="22">
        <f t="shared" si="16"/>
        <v>0</v>
      </c>
      <c r="CU19" s="22">
        <f t="shared" si="16"/>
        <v>0</v>
      </c>
      <c r="CV19" s="22">
        <f t="shared" si="16"/>
        <v>0</v>
      </c>
      <c r="CW19" s="22">
        <f t="shared" si="16"/>
        <v>0</v>
      </c>
      <c r="CX19" s="22">
        <f t="shared" si="16"/>
        <v>0</v>
      </c>
      <c r="CY19" s="22">
        <f t="shared" si="16"/>
        <v>0</v>
      </c>
      <c r="CZ19" s="22">
        <f t="shared" si="16"/>
        <v>0</v>
      </c>
      <c r="DA19" s="22">
        <f t="shared" si="16"/>
        <v>0</v>
      </c>
      <c r="DB19" s="22">
        <f t="shared" si="16"/>
        <v>0</v>
      </c>
      <c r="DC19" s="22">
        <f t="shared" si="16"/>
        <v>0</v>
      </c>
      <c r="DD19" s="22">
        <f t="shared" si="16"/>
        <v>0</v>
      </c>
      <c r="DE19" s="22">
        <f t="shared" si="16"/>
        <v>0</v>
      </c>
      <c r="DF19" s="22">
        <f t="shared" si="16"/>
        <v>0</v>
      </c>
      <c r="DG19" s="22">
        <f t="shared" si="16"/>
        <v>0</v>
      </c>
      <c r="DH19" s="22">
        <f t="shared" si="16"/>
        <v>0</v>
      </c>
      <c r="DI19" s="22">
        <f t="shared" si="16"/>
        <v>0</v>
      </c>
      <c r="DJ19" s="22">
        <f t="shared" si="16"/>
        <v>0</v>
      </c>
      <c r="DK19" s="22">
        <f t="shared" si="16"/>
        <v>0</v>
      </c>
      <c r="DL19" s="22">
        <f t="shared" si="16"/>
        <v>0</v>
      </c>
      <c r="DM19" s="22">
        <f t="shared" si="16"/>
        <v>0</v>
      </c>
      <c r="DN19" s="22">
        <f t="shared" si="16"/>
        <v>0</v>
      </c>
      <c r="DO19" s="22">
        <f t="shared" si="16"/>
        <v>0</v>
      </c>
      <c r="DP19" s="22">
        <f t="shared" si="16"/>
        <v>0</v>
      </c>
      <c r="DQ19" s="22">
        <f t="shared" si="16"/>
        <v>0</v>
      </c>
      <c r="DR19" s="22">
        <f t="shared" si="16"/>
        <v>0</v>
      </c>
      <c r="DS19" s="22">
        <f t="shared" si="16"/>
        <v>0</v>
      </c>
      <c r="DT19" s="22">
        <f t="shared" si="16"/>
        <v>0</v>
      </c>
      <c r="DU19" s="22">
        <f t="shared" si="16"/>
        <v>0</v>
      </c>
      <c r="DV19" s="22">
        <f t="shared" si="16"/>
        <v>0</v>
      </c>
      <c r="DW19" s="22">
        <f t="shared" si="16"/>
        <v>0</v>
      </c>
      <c r="DX19" s="22">
        <f t="shared" si="16"/>
        <v>0</v>
      </c>
      <c r="DY19" s="22">
        <f t="shared" si="16"/>
        <v>0</v>
      </c>
      <c r="DZ19" s="22">
        <f t="shared" si="16"/>
        <v>0</v>
      </c>
      <c r="EA19" s="22">
        <f t="shared" si="16"/>
        <v>0</v>
      </c>
      <c r="EB19" s="22">
        <f t="shared" si="16"/>
        <v>0</v>
      </c>
      <c r="EC19" s="22">
        <f t="shared" si="16"/>
        <v>0</v>
      </c>
      <c r="ED19" s="22">
        <f t="shared" si="16"/>
        <v>0</v>
      </c>
      <c r="EE19" s="22">
        <f t="shared" si="16"/>
        <v>0</v>
      </c>
      <c r="EF19" s="22">
        <f t="shared" si="16"/>
        <v>0</v>
      </c>
      <c r="EG19" s="22">
        <f t="shared" si="16"/>
        <v>0</v>
      </c>
      <c r="EH19" s="22">
        <f t="shared" si="16"/>
        <v>0</v>
      </c>
      <c r="EI19" s="22">
        <f t="shared" si="16"/>
        <v>0</v>
      </c>
      <c r="EJ19" s="22">
        <f t="shared" si="16"/>
        <v>0</v>
      </c>
      <c r="EK19" s="22">
        <f t="shared" si="16"/>
        <v>0</v>
      </c>
      <c r="EL19" s="22">
        <f t="shared" si="16"/>
        <v>0</v>
      </c>
      <c r="EM19" s="22">
        <f t="shared" si="16"/>
        <v>0</v>
      </c>
      <c r="EN19" s="22">
        <f t="shared" si="16"/>
        <v>0</v>
      </c>
      <c r="EO19" s="22">
        <f t="shared" si="16"/>
        <v>0</v>
      </c>
      <c r="EP19" s="22">
        <f t="shared" si="16"/>
        <v>0</v>
      </c>
      <c r="EQ19" s="22">
        <f t="shared" si="16"/>
        <v>0</v>
      </c>
      <c r="ER19" s="22">
        <f t="shared" si="16"/>
        <v>0</v>
      </c>
      <c r="ES19" s="22">
        <f t="shared" si="16"/>
        <v>0</v>
      </c>
      <c r="ET19" s="22">
        <f t="shared" ref="ET19:EY19" si="17">ET18</f>
        <v>0</v>
      </c>
      <c r="EU19" s="22">
        <f t="shared" si="17"/>
        <v>0</v>
      </c>
      <c r="EV19" s="22">
        <f t="shared" si="17"/>
        <v>0</v>
      </c>
      <c r="EW19" s="22">
        <f t="shared" si="17"/>
        <v>0</v>
      </c>
      <c r="EX19" s="22">
        <f t="shared" si="17"/>
        <v>0</v>
      </c>
      <c r="EY19" s="22">
        <f t="shared" si="17"/>
        <v>0</v>
      </c>
    </row>
    <row r="20" spans="1:155" hidden="1" x14ac:dyDescent="0.3">
      <c r="A20" s="36"/>
      <c r="B20" s="36"/>
      <c r="C20" s="38"/>
      <c r="D20" s="15" t="s">
        <v>16</v>
      </c>
      <c r="E20" s="19" t="e">
        <f t="shared" ref="E20:BP21" si="18">E18/E16</f>
        <v>#DIV/0!</v>
      </c>
      <c r="F20" s="19" t="e">
        <f t="shared" si="18"/>
        <v>#DIV/0!</v>
      </c>
      <c r="G20" s="19" t="e">
        <f t="shared" si="18"/>
        <v>#DIV/0!</v>
      </c>
      <c r="H20" s="19" t="e">
        <f t="shared" si="18"/>
        <v>#DIV/0!</v>
      </c>
      <c r="I20" s="19" t="e">
        <f t="shared" si="18"/>
        <v>#DIV/0!</v>
      </c>
      <c r="J20" s="19" t="e">
        <f t="shared" si="18"/>
        <v>#DIV/0!</v>
      </c>
      <c r="K20" s="19" t="e">
        <f t="shared" si="18"/>
        <v>#DIV/0!</v>
      </c>
      <c r="L20" s="19" t="e">
        <f t="shared" si="18"/>
        <v>#DIV/0!</v>
      </c>
      <c r="M20" s="19" t="e">
        <f t="shared" si="18"/>
        <v>#DIV/0!</v>
      </c>
      <c r="N20" s="19" t="e">
        <f t="shared" si="18"/>
        <v>#DIV/0!</v>
      </c>
      <c r="O20" s="19" t="e">
        <f t="shared" si="18"/>
        <v>#DIV/0!</v>
      </c>
      <c r="P20" s="19" t="e">
        <f t="shared" si="18"/>
        <v>#DIV/0!</v>
      </c>
      <c r="Q20" s="19" t="e">
        <f t="shared" si="18"/>
        <v>#DIV/0!</v>
      </c>
      <c r="R20" s="19" t="e">
        <f t="shared" si="18"/>
        <v>#DIV/0!</v>
      </c>
      <c r="S20" s="19" t="e">
        <f t="shared" si="18"/>
        <v>#DIV/0!</v>
      </c>
      <c r="T20" s="19" t="e">
        <f t="shared" si="18"/>
        <v>#DIV/0!</v>
      </c>
      <c r="U20" s="19" t="e">
        <f t="shared" si="18"/>
        <v>#DIV/0!</v>
      </c>
      <c r="V20" s="19" t="e">
        <f t="shared" si="18"/>
        <v>#DIV/0!</v>
      </c>
      <c r="W20" s="19" t="e">
        <f t="shared" si="18"/>
        <v>#DIV/0!</v>
      </c>
      <c r="X20" s="19" t="e">
        <f t="shared" si="18"/>
        <v>#DIV/0!</v>
      </c>
      <c r="Y20" s="19" t="e">
        <f t="shared" si="18"/>
        <v>#DIV/0!</v>
      </c>
      <c r="Z20" s="19" t="e">
        <f t="shared" si="18"/>
        <v>#DIV/0!</v>
      </c>
      <c r="AA20" s="19" t="e">
        <f t="shared" si="18"/>
        <v>#DIV/0!</v>
      </c>
      <c r="AB20" s="19" t="e">
        <f t="shared" si="18"/>
        <v>#DIV/0!</v>
      </c>
      <c r="AC20" s="19" t="e">
        <f t="shared" si="18"/>
        <v>#DIV/0!</v>
      </c>
      <c r="AD20" s="19" t="e">
        <f t="shared" si="18"/>
        <v>#DIV/0!</v>
      </c>
      <c r="AE20" s="19" t="e">
        <f t="shared" si="18"/>
        <v>#DIV/0!</v>
      </c>
      <c r="AF20" s="19" t="e">
        <f t="shared" si="18"/>
        <v>#DIV/0!</v>
      </c>
      <c r="AG20" s="19" t="e">
        <f t="shared" si="18"/>
        <v>#DIV/0!</v>
      </c>
      <c r="AH20" s="19" t="e">
        <f t="shared" si="18"/>
        <v>#DIV/0!</v>
      </c>
      <c r="AI20" s="19" t="e">
        <f t="shared" si="18"/>
        <v>#DIV/0!</v>
      </c>
      <c r="AJ20" s="19" t="e">
        <f t="shared" si="18"/>
        <v>#DIV/0!</v>
      </c>
      <c r="AK20" s="19" t="e">
        <f t="shared" si="18"/>
        <v>#DIV/0!</v>
      </c>
      <c r="AL20" s="19" t="e">
        <f t="shared" si="18"/>
        <v>#DIV/0!</v>
      </c>
      <c r="AM20" s="19" t="e">
        <f t="shared" si="18"/>
        <v>#DIV/0!</v>
      </c>
      <c r="AN20" s="19" t="e">
        <f t="shared" si="18"/>
        <v>#DIV/0!</v>
      </c>
      <c r="AO20" s="19" t="e">
        <f t="shared" si="18"/>
        <v>#DIV/0!</v>
      </c>
      <c r="AP20" s="19" t="e">
        <f t="shared" si="18"/>
        <v>#DIV/0!</v>
      </c>
      <c r="AQ20" s="19" t="e">
        <f t="shared" si="18"/>
        <v>#DIV/0!</v>
      </c>
      <c r="AR20" s="19" t="e">
        <f t="shared" si="18"/>
        <v>#DIV/0!</v>
      </c>
      <c r="AS20" s="19" t="e">
        <f t="shared" si="18"/>
        <v>#DIV/0!</v>
      </c>
      <c r="AT20" s="19" t="e">
        <f t="shared" si="18"/>
        <v>#DIV/0!</v>
      </c>
      <c r="AU20" s="19" t="e">
        <f t="shared" si="18"/>
        <v>#DIV/0!</v>
      </c>
      <c r="AV20" s="19" t="e">
        <f t="shared" si="18"/>
        <v>#DIV/0!</v>
      </c>
      <c r="AW20" s="19" t="e">
        <f t="shared" si="18"/>
        <v>#DIV/0!</v>
      </c>
      <c r="AX20" s="19" t="e">
        <f t="shared" si="18"/>
        <v>#DIV/0!</v>
      </c>
      <c r="AY20" s="19" t="e">
        <f t="shared" si="18"/>
        <v>#DIV/0!</v>
      </c>
      <c r="AZ20" s="19" t="e">
        <f t="shared" si="18"/>
        <v>#DIV/0!</v>
      </c>
      <c r="BA20" s="19" t="e">
        <f t="shared" si="18"/>
        <v>#DIV/0!</v>
      </c>
      <c r="BB20" s="19" t="e">
        <f t="shared" si="18"/>
        <v>#DIV/0!</v>
      </c>
      <c r="BC20" s="19" t="e">
        <f t="shared" si="18"/>
        <v>#DIV/0!</v>
      </c>
      <c r="BD20" s="19" t="e">
        <f t="shared" si="18"/>
        <v>#DIV/0!</v>
      </c>
      <c r="BE20" s="19" t="e">
        <f t="shared" si="18"/>
        <v>#DIV/0!</v>
      </c>
      <c r="BF20" s="19" t="e">
        <f t="shared" si="18"/>
        <v>#DIV/0!</v>
      </c>
      <c r="BG20" s="19" t="e">
        <f t="shared" si="18"/>
        <v>#DIV/0!</v>
      </c>
      <c r="BH20" s="19" t="e">
        <f t="shared" si="18"/>
        <v>#DIV/0!</v>
      </c>
      <c r="BI20" s="19" t="e">
        <f t="shared" si="18"/>
        <v>#DIV/0!</v>
      </c>
      <c r="BJ20" s="19" t="e">
        <f t="shared" si="18"/>
        <v>#DIV/0!</v>
      </c>
      <c r="BK20" s="19" t="e">
        <f t="shared" si="18"/>
        <v>#DIV/0!</v>
      </c>
      <c r="BL20" s="19" t="e">
        <f t="shared" si="18"/>
        <v>#DIV/0!</v>
      </c>
      <c r="BM20" s="19" t="e">
        <f t="shared" si="18"/>
        <v>#DIV/0!</v>
      </c>
      <c r="BN20" s="19" t="e">
        <f t="shared" si="18"/>
        <v>#DIV/0!</v>
      </c>
      <c r="BO20" s="19" t="e">
        <f t="shared" si="18"/>
        <v>#DIV/0!</v>
      </c>
      <c r="BP20" s="19" t="e">
        <f t="shared" si="18"/>
        <v>#DIV/0!</v>
      </c>
      <c r="BQ20" s="19" t="e">
        <f t="shared" ref="BQ20:EB20" si="19">BQ18/BQ16</f>
        <v>#DIV/0!</v>
      </c>
      <c r="BR20" s="19" t="e">
        <f t="shared" si="19"/>
        <v>#DIV/0!</v>
      </c>
      <c r="BS20" s="19" t="e">
        <f t="shared" si="19"/>
        <v>#DIV/0!</v>
      </c>
      <c r="BT20" s="19" t="e">
        <f t="shared" si="19"/>
        <v>#DIV/0!</v>
      </c>
      <c r="BU20" s="19" t="e">
        <f t="shared" si="19"/>
        <v>#DIV/0!</v>
      </c>
      <c r="BV20" s="19" t="e">
        <f t="shared" si="19"/>
        <v>#DIV/0!</v>
      </c>
      <c r="BW20" s="19" t="e">
        <f t="shared" si="19"/>
        <v>#DIV/0!</v>
      </c>
      <c r="BX20" s="19" t="e">
        <f t="shared" si="19"/>
        <v>#DIV/0!</v>
      </c>
      <c r="BY20" s="19" t="e">
        <f t="shared" si="19"/>
        <v>#DIV/0!</v>
      </c>
      <c r="BZ20" s="19" t="e">
        <f t="shared" si="19"/>
        <v>#DIV/0!</v>
      </c>
      <c r="CA20" s="19" t="e">
        <f t="shared" si="19"/>
        <v>#DIV/0!</v>
      </c>
      <c r="CB20" s="19" t="e">
        <f t="shared" si="19"/>
        <v>#DIV/0!</v>
      </c>
      <c r="CC20" s="19" t="e">
        <f t="shared" si="19"/>
        <v>#DIV/0!</v>
      </c>
      <c r="CD20" s="19" t="e">
        <f t="shared" si="19"/>
        <v>#DIV/0!</v>
      </c>
      <c r="CE20" s="19" t="e">
        <f t="shared" si="19"/>
        <v>#DIV/0!</v>
      </c>
      <c r="CF20" s="19" t="e">
        <f t="shared" si="19"/>
        <v>#DIV/0!</v>
      </c>
      <c r="CG20" s="19" t="e">
        <f t="shared" si="19"/>
        <v>#DIV/0!</v>
      </c>
      <c r="CH20" s="19" t="e">
        <f t="shared" si="19"/>
        <v>#DIV/0!</v>
      </c>
      <c r="CI20" s="19" t="e">
        <f t="shared" si="19"/>
        <v>#DIV/0!</v>
      </c>
      <c r="CJ20" s="19" t="e">
        <f t="shared" si="19"/>
        <v>#DIV/0!</v>
      </c>
      <c r="CK20" s="19" t="e">
        <f t="shared" si="19"/>
        <v>#DIV/0!</v>
      </c>
      <c r="CL20" s="19" t="e">
        <f t="shared" si="19"/>
        <v>#DIV/0!</v>
      </c>
      <c r="CM20" s="19" t="e">
        <f t="shared" si="19"/>
        <v>#DIV/0!</v>
      </c>
      <c r="CN20" s="19" t="e">
        <f t="shared" si="19"/>
        <v>#DIV/0!</v>
      </c>
      <c r="CO20" s="19" t="e">
        <f t="shared" si="19"/>
        <v>#DIV/0!</v>
      </c>
      <c r="CP20" s="19" t="e">
        <f t="shared" si="19"/>
        <v>#DIV/0!</v>
      </c>
      <c r="CQ20" s="19" t="e">
        <f t="shared" si="19"/>
        <v>#DIV/0!</v>
      </c>
      <c r="CR20" s="19" t="e">
        <f t="shared" si="19"/>
        <v>#DIV/0!</v>
      </c>
      <c r="CS20" s="19" t="e">
        <f t="shared" si="19"/>
        <v>#DIV/0!</v>
      </c>
      <c r="CT20" s="19" t="e">
        <f t="shared" si="19"/>
        <v>#DIV/0!</v>
      </c>
      <c r="CU20" s="19" t="e">
        <f t="shared" si="19"/>
        <v>#DIV/0!</v>
      </c>
      <c r="CV20" s="19" t="e">
        <f t="shared" si="19"/>
        <v>#DIV/0!</v>
      </c>
      <c r="CW20" s="19" t="e">
        <f t="shared" si="19"/>
        <v>#DIV/0!</v>
      </c>
      <c r="CX20" s="19" t="e">
        <f t="shared" si="19"/>
        <v>#DIV/0!</v>
      </c>
      <c r="CY20" s="19" t="e">
        <f t="shared" si="19"/>
        <v>#DIV/0!</v>
      </c>
      <c r="CZ20" s="19" t="e">
        <f t="shared" si="19"/>
        <v>#DIV/0!</v>
      </c>
      <c r="DA20" s="19" t="e">
        <f t="shared" si="19"/>
        <v>#DIV/0!</v>
      </c>
      <c r="DB20" s="19" t="e">
        <f t="shared" si="19"/>
        <v>#DIV/0!</v>
      </c>
      <c r="DC20" s="19" t="e">
        <f t="shared" si="19"/>
        <v>#DIV/0!</v>
      </c>
      <c r="DD20" s="19" t="e">
        <f t="shared" si="19"/>
        <v>#DIV/0!</v>
      </c>
      <c r="DE20" s="19" t="e">
        <f t="shared" si="19"/>
        <v>#DIV/0!</v>
      </c>
      <c r="DF20" s="19" t="e">
        <f t="shared" si="19"/>
        <v>#DIV/0!</v>
      </c>
      <c r="DG20" s="19" t="e">
        <f t="shared" si="19"/>
        <v>#DIV/0!</v>
      </c>
      <c r="DH20" s="19" t="e">
        <f t="shared" si="19"/>
        <v>#DIV/0!</v>
      </c>
      <c r="DI20" s="19" t="e">
        <f t="shared" si="19"/>
        <v>#DIV/0!</v>
      </c>
      <c r="DJ20" s="19" t="e">
        <f t="shared" si="19"/>
        <v>#DIV/0!</v>
      </c>
      <c r="DK20" s="19" t="e">
        <f t="shared" si="19"/>
        <v>#DIV/0!</v>
      </c>
      <c r="DL20" s="19" t="e">
        <f t="shared" si="19"/>
        <v>#DIV/0!</v>
      </c>
      <c r="DM20" s="19" t="e">
        <f t="shared" si="19"/>
        <v>#DIV/0!</v>
      </c>
      <c r="DN20" s="19" t="e">
        <f t="shared" si="19"/>
        <v>#DIV/0!</v>
      </c>
      <c r="DO20" s="19" t="e">
        <f t="shared" si="19"/>
        <v>#DIV/0!</v>
      </c>
      <c r="DP20" s="19" t="e">
        <f t="shared" si="19"/>
        <v>#DIV/0!</v>
      </c>
      <c r="DQ20" s="19" t="e">
        <f t="shared" si="19"/>
        <v>#DIV/0!</v>
      </c>
      <c r="DR20" s="19" t="e">
        <f t="shared" si="19"/>
        <v>#DIV/0!</v>
      </c>
      <c r="DS20" s="19" t="e">
        <f t="shared" si="19"/>
        <v>#DIV/0!</v>
      </c>
      <c r="DT20" s="19" t="e">
        <f t="shared" si="19"/>
        <v>#DIV/0!</v>
      </c>
      <c r="DU20" s="19" t="e">
        <f t="shared" si="19"/>
        <v>#DIV/0!</v>
      </c>
      <c r="DV20" s="19" t="e">
        <f t="shared" si="19"/>
        <v>#DIV/0!</v>
      </c>
      <c r="DW20" s="19" t="e">
        <f t="shared" si="19"/>
        <v>#DIV/0!</v>
      </c>
      <c r="DX20" s="19" t="e">
        <f t="shared" si="19"/>
        <v>#DIV/0!</v>
      </c>
      <c r="DY20" s="19" t="e">
        <f t="shared" si="19"/>
        <v>#DIV/0!</v>
      </c>
      <c r="DZ20" s="19" t="e">
        <f t="shared" si="19"/>
        <v>#DIV/0!</v>
      </c>
      <c r="EA20" s="19" t="e">
        <f t="shared" si="19"/>
        <v>#DIV/0!</v>
      </c>
      <c r="EB20" s="19" t="e">
        <f t="shared" si="19"/>
        <v>#DIV/0!</v>
      </c>
      <c r="EC20" s="19" t="e">
        <f t="shared" ref="EC20:EY20" si="20">EC18/EC16</f>
        <v>#DIV/0!</v>
      </c>
      <c r="ED20" s="19" t="e">
        <f t="shared" si="20"/>
        <v>#DIV/0!</v>
      </c>
      <c r="EE20" s="19" t="e">
        <f t="shared" si="20"/>
        <v>#DIV/0!</v>
      </c>
      <c r="EF20" s="19" t="e">
        <f t="shared" si="20"/>
        <v>#DIV/0!</v>
      </c>
      <c r="EG20" s="19" t="e">
        <f t="shared" si="20"/>
        <v>#DIV/0!</v>
      </c>
      <c r="EH20" s="19" t="e">
        <f t="shared" si="20"/>
        <v>#DIV/0!</v>
      </c>
      <c r="EI20" s="19" t="e">
        <f t="shared" si="20"/>
        <v>#DIV/0!</v>
      </c>
      <c r="EJ20" s="19" t="e">
        <f t="shared" si="20"/>
        <v>#DIV/0!</v>
      </c>
      <c r="EK20" s="19" t="e">
        <f t="shared" si="20"/>
        <v>#DIV/0!</v>
      </c>
      <c r="EL20" s="19" t="e">
        <f t="shared" si="20"/>
        <v>#DIV/0!</v>
      </c>
      <c r="EM20" s="19" t="e">
        <f t="shared" si="20"/>
        <v>#DIV/0!</v>
      </c>
      <c r="EN20" s="19" t="e">
        <f t="shared" si="20"/>
        <v>#DIV/0!</v>
      </c>
      <c r="EO20" s="19" t="e">
        <f t="shared" si="20"/>
        <v>#DIV/0!</v>
      </c>
      <c r="EP20" s="19" t="e">
        <f t="shared" si="20"/>
        <v>#DIV/0!</v>
      </c>
      <c r="EQ20" s="19" t="e">
        <f t="shared" si="20"/>
        <v>#DIV/0!</v>
      </c>
      <c r="ER20" s="19" t="e">
        <f t="shared" si="20"/>
        <v>#DIV/0!</v>
      </c>
      <c r="ES20" s="19" t="e">
        <f t="shared" si="20"/>
        <v>#DIV/0!</v>
      </c>
      <c r="ET20" s="19" t="e">
        <f t="shared" si="20"/>
        <v>#DIV/0!</v>
      </c>
      <c r="EU20" s="19" t="e">
        <f t="shared" si="20"/>
        <v>#DIV/0!</v>
      </c>
      <c r="EV20" s="19" t="e">
        <f t="shared" si="20"/>
        <v>#DIV/0!</v>
      </c>
      <c r="EW20" s="19" t="e">
        <f t="shared" si="20"/>
        <v>#DIV/0!</v>
      </c>
      <c r="EX20" s="19" t="e">
        <f t="shared" si="20"/>
        <v>#DIV/0!</v>
      </c>
      <c r="EY20" s="19" t="e">
        <f t="shared" si="20"/>
        <v>#DIV/0!</v>
      </c>
    </row>
    <row r="21" spans="1:155" hidden="1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21">F18/F17</f>
        <v>#DIV/0!</v>
      </c>
      <c r="G21" s="20" t="e">
        <f t="shared" si="21"/>
        <v>#DIV/0!</v>
      </c>
      <c r="H21" s="20" t="e">
        <f t="shared" si="21"/>
        <v>#DIV/0!</v>
      </c>
      <c r="I21" s="20" t="e">
        <f t="shared" si="21"/>
        <v>#DIV/0!</v>
      </c>
      <c r="J21" s="20" t="e">
        <f t="shared" si="21"/>
        <v>#DIV/0!</v>
      </c>
      <c r="K21" s="20" t="e">
        <f t="shared" si="21"/>
        <v>#DIV/0!</v>
      </c>
      <c r="L21" s="20" t="e">
        <f t="shared" si="21"/>
        <v>#DIV/0!</v>
      </c>
      <c r="M21" s="20" t="e">
        <f t="shared" si="21"/>
        <v>#DIV/0!</v>
      </c>
      <c r="N21" s="20" t="e">
        <f t="shared" si="21"/>
        <v>#DIV/0!</v>
      </c>
      <c r="O21" s="20" t="e">
        <f t="shared" si="21"/>
        <v>#DIV/0!</v>
      </c>
      <c r="P21" s="20" t="e">
        <f t="shared" si="21"/>
        <v>#DIV/0!</v>
      </c>
      <c r="Q21" s="20" t="e">
        <f t="shared" si="21"/>
        <v>#DIV/0!</v>
      </c>
      <c r="R21" s="20" t="e">
        <f t="shared" si="21"/>
        <v>#DIV/0!</v>
      </c>
      <c r="S21" s="20" t="e">
        <f t="shared" si="21"/>
        <v>#DIV/0!</v>
      </c>
      <c r="T21" s="20" t="e">
        <f t="shared" si="21"/>
        <v>#DIV/0!</v>
      </c>
      <c r="U21" s="20" t="e">
        <f t="shared" si="21"/>
        <v>#DIV/0!</v>
      </c>
      <c r="V21" s="20" t="e">
        <f t="shared" si="21"/>
        <v>#DIV/0!</v>
      </c>
      <c r="W21" s="20" t="e">
        <f t="shared" si="21"/>
        <v>#DIV/0!</v>
      </c>
      <c r="X21" s="20" t="e">
        <f t="shared" si="21"/>
        <v>#DIV/0!</v>
      </c>
      <c r="Y21" s="20" t="e">
        <f t="shared" si="21"/>
        <v>#DIV/0!</v>
      </c>
      <c r="Z21" s="20" t="e">
        <f t="shared" si="21"/>
        <v>#DIV/0!</v>
      </c>
      <c r="AA21" s="20" t="e">
        <f t="shared" si="21"/>
        <v>#DIV/0!</v>
      </c>
      <c r="AB21" s="20" t="e">
        <f>AB19/AB17</f>
        <v>#DIV/0!</v>
      </c>
      <c r="AC21" s="20" t="e">
        <f t="shared" si="18"/>
        <v>#DIV/0!</v>
      </c>
      <c r="AD21" s="20" t="e">
        <f t="shared" si="18"/>
        <v>#DIV/0!</v>
      </c>
      <c r="AE21" s="20" t="e">
        <f t="shared" si="18"/>
        <v>#DIV/0!</v>
      </c>
      <c r="AF21" s="20" t="e">
        <f t="shared" si="18"/>
        <v>#DIV/0!</v>
      </c>
      <c r="AG21" s="20" t="e">
        <f t="shared" si="18"/>
        <v>#DIV/0!</v>
      </c>
      <c r="AH21" s="20" t="e">
        <f t="shared" si="18"/>
        <v>#DIV/0!</v>
      </c>
      <c r="AI21" s="20" t="e">
        <f t="shared" si="18"/>
        <v>#DIV/0!</v>
      </c>
      <c r="AJ21" s="20" t="e">
        <f t="shared" si="18"/>
        <v>#DIV/0!</v>
      </c>
      <c r="AK21" s="20" t="e">
        <f t="shared" si="18"/>
        <v>#DIV/0!</v>
      </c>
      <c r="AL21" s="20" t="e">
        <f t="shared" si="18"/>
        <v>#DIV/0!</v>
      </c>
      <c r="AM21" s="20" t="e">
        <f>AM19/AM17</f>
        <v>#DIV/0!</v>
      </c>
      <c r="AN21" s="20" t="e">
        <f t="shared" si="18"/>
        <v>#DIV/0!</v>
      </c>
      <c r="AO21" s="20" t="e">
        <f t="shared" si="18"/>
        <v>#DIV/0!</v>
      </c>
      <c r="AP21" s="20" t="e">
        <f t="shared" si="18"/>
        <v>#DIV/0!</v>
      </c>
      <c r="AQ21" s="20" t="e">
        <f t="shared" si="18"/>
        <v>#DIV/0!</v>
      </c>
      <c r="AR21" s="20" t="e">
        <f t="shared" si="18"/>
        <v>#DIV/0!</v>
      </c>
      <c r="AS21" s="20" t="e">
        <f t="shared" ref="AS21:DD21" si="22">AS18/AS17</f>
        <v>#DIV/0!</v>
      </c>
      <c r="AT21" s="20" t="e">
        <f t="shared" si="22"/>
        <v>#DIV/0!</v>
      </c>
      <c r="AU21" s="20" t="e">
        <f t="shared" si="22"/>
        <v>#DIV/0!</v>
      </c>
      <c r="AV21" s="20" t="e">
        <f t="shared" si="22"/>
        <v>#DIV/0!</v>
      </c>
      <c r="AW21" s="20" t="e">
        <f t="shared" si="22"/>
        <v>#DIV/0!</v>
      </c>
      <c r="AX21" s="20" t="e">
        <f t="shared" si="22"/>
        <v>#DIV/0!</v>
      </c>
      <c r="AY21" s="20" t="e">
        <f t="shared" si="22"/>
        <v>#DIV/0!</v>
      </c>
      <c r="AZ21" s="20" t="e">
        <f t="shared" si="22"/>
        <v>#DIV/0!</v>
      </c>
      <c r="BA21" s="20" t="e">
        <f t="shared" si="22"/>
        <v>#DIV/0!</v>
      </c>
      <c r="BB21" s="20" t="e">
        <f t="shared" si="22"/>
        <v>#DIV/0!</v>
      </c>
      <c r="BC21" s="20" t="e">
        <f t="shared" si="22"/>
        <v>#DIV/0!</v>
      </c>
      <c r="BD21" s="20" t="e">
        <f t="shared" si="22"/>
        <v>#DIV/0!</v>
      </c>
      <c r="BE21" s="20" t="e">
        <f t="shared" si="22"/>
        <v>#DIV/0!</v>
      </c>
      <c r="BF21" s="20" t="e">
        <f t="shared" si="22"/>
        <v>#DIV/0!</v>
      </c>
      <c r="BG21" s="20" t="e">
        <f t="shared" si="22"/>
        <v>#DIV/0!</v>
      </c>
      <c r="BH21" s="20" t="e">
        <f t="shared" si="22"/>
        <v>#DIV/0!</v>
      </c>
      <c r="BI21" s="20" t="e">
        <f t="shared" si="22"/>
        <v>#DIV/0!</v>
      </c>
      <c r="BJ21" s="20" t="e">
        <f t="shared" si="22"/>
        <v>#DIV/0!</v>
      </c>
      <c r="BK21" s="20" t="e">
        <f t="shared" si="22"/>
        <v>#DIV/0!</v>
      </c>
      <c r="BL21" s="20" t="e">
        <f t="shared" si="22"/>
        <v>#DIV/0!</v>
      </c>
      <c r="BM21" s="20" t="e">
        <f t="shared" si="22"/>
        <v>#DIV/0!</v>
      </c>
      <c r="BN21" s="20" t="e">
        <f t="shared" si="22"/>
        <v>#DIV/0!</v>
      </c>
      <c r="BO21" s="20" t="e">
        <f t="shared" si="22"/>
        <v>#DIV/0!</v>
      </c>
      <c r="BP21" s="20" t="e">
        <f t="shared" si="22"/>
        <v>#DIV/0!</v>
      </c>
      <c r="BQ21" s="20" t="e">
        <f t="shared" si="22"/>
        <v>#DIV/0!</v>
      </c>
      <c r="BR21" s="20" t="e">
        <f t="shared" si="22"/>
        <v>#DIV/0!</v>
      </c>
      <c r="BS21" s="20" t="e">
        <f t="shared" si="22"/>
        <v>#DIV/0!</v>
      </c>
      <c r="BT21" s="20" t="e">
        <f t="shared" si="22"/>
        <v>#DIV/0!</v>
      </c>
      <c r="BU21" s="20" t="e">
        <f t="shared" si="22"/>
        <v>#DIV/0!</v>
      </c>
      <c r="BV21" s="20" t="e">
        <f t="shared" si="22"/>
        <v>#DIV/0!</v>
      </c>
      <c r="BW21" s="20" t="e">
        <f t="shared" si="22"/>
        <v>#DIV/0!</v>
      </c>
      <c r="BX21" s="20" t="e">
        <f t="shared" si="22"/>
        <v>#DIV/0!</v>
      </c>
      <c r="BY21" s="20" t="e">
        <f t="shared" si="22"/>
        <v>#DIV/0!</v>
      </c>
      <c r="BZ21" s="20" t="e">
        <f t="shared" si="22"/>
        <v>#DIV/0!</v>
      </c>
      <c r="CA21" s="20" t="e">
        <f t="shared" si="22"/>
        <v>#DIV/0!</v>
      </c>
      <c r="CB21" s="20" t="e">
        <f t="shared" si="22"/>
        <v>#DIV/0!</v>
      </c>
      <c r="CC21" s="20" t="e">
        <f t="shared" si="22"/>
        <v>#DIV/0!</v>
      </c>
      <c r="CD21" s="20" t="e">
        <f t="shared" si="22"/>
        <v>#DIV/0!</v>
      </c>
      <c r="CE21" s="20" t="e">
        <f t="shared" si="22"/>
        <v>#DIV/0!</v>
      </c>
      <c r="CF21" s="20" t="e">
        <f t="shared" si="22"/>
        <v>#DIV/0!</v>
      </c>
      <c r="CG21" s="20" t="e">
        <f t="shared" si="22"/>
        <v>#DIV/0!</v>
      </c>
      <c r="CH21" s="20" t="e">
        <f t="shared" si="22"/>
        <v>#DIV/0!</v>
      </c>
      <c r="CI21" s="20" t="e">
        <f t="shared" si="22"/>
        <v>#DIV/0!</v>
      </c>
      <c r="CJ21" s="20" t="e">
        <f t="shared" si="22"/>
        <v>#DIV/0!</v>
      </c>
      <c r="CK21" s="20" t="e">
        <f t="shared" si="22"/>
        <v>#DIV/0!</v>
      </c>
      <c r="CL21" s="20" t="e">
        <f t="shared" si="22"/>
        <v>#DIV/0!</v>
      </c>
      <c r="CM21" s="20" t="e">
        <f t="shared" si="22"/>
        <v>#DIV/0!</v>
      </c>
      <c r="CN21" s="20" t="e">
        <f t="shared" si="22"/>
        <v>#DIV/0!</v>
      </c>
      <c r="CO21" s="20" t="e">
        <f t="shared" si="22"/>
        <v>#DIV/0!</v>
      </c>
      <c r="CP21" s="20" t="e">
        <f t="shared" si="22"/>
        <v>#DIV/0!</v>
      </c>
      <c r="CQ21" s="20" t="e">
        <f t="shared" si="22"/>
        <v>#DIV/0!</v>
      </c>
      <c r="CR21" s="20" t="e">
        <f t="shared" si="22"/>
        <v>#DIV/0!</v>
      </c>
      <c r="CS21" s="20" t="e">
        <f t="shared" si="22"/>
        <v>#DIV/0!</v>
      </c>
      <c r="CT21" s="20" t="e">
        <f t="shared" si="22"/>
        <v>#DIV/0!</v>
      </c>
      <c r="CU21" s="20" t="e">
        <f t="shared" si="22"/>
        <v>#DIV/0!</v>
      </c>
      <c r="CV21" s="20" t="e">
        <f t="shared" si="22"/>
        <v>#DIV/0!</v>
      </c>
      <c r="CW21" s="20" t="e">
        <f t="shared" si="22"/>
        <v>#DIV/0!</v>
      </c>
      <c r="CX21" s="20" t="e">
        <f t="shared" si="22"/>
        <v>#DIV/0!</v>
      </c>
      <c r="CY21" s="20" t="e">
        <f t="shared" si="22"/>
        <v>#DIV/0!</v>
      </c>
      <c r="CZ21" s="20" t="e">
        <f t="shared" si="22"/>
        <v>#DIV/0!</v>
      </c>
      <c r="DA21" s="20" t="e">
        <f t="shared" si="22"/>
        <v>#DIV/0!</v>
      </c>
      <c r="DB21" s="20" t="e">
        <f t="shared" si="22"/>
        <v>#DIV/0!</v>
      </c>
      <c r="DC21" s="20" t="e">
        <f t="shared" si="22"/>
        <v>#DIV/0!</v>
      </c>
      <c r="DD21" s="20" t="e">
        <f t="shared" si="22"/>
        <v>#DIV/0!</v>
      </c>
      <c r="DE21" s="20" t="e">
        <f t="shared" ref="DE21:EY21" si="23">DE18/DE17</f>
        <v>#DIV/0!</v>
      </c>
      <c r="DF21" s="20" t="e">
        <f t="shared" si="23"/>
        <v>#DIV/0!</v>
      </c>
      <c r="DG21" s="20" t="e">
        <f t="shared" si="23"/>
        <v>#DIV/0!</v>
      </c>
      <c r="DH21" s="20" t="e">
        <f t="shared" si="23"/>
        <v>#DIV/0!</v>
      </c>
      <c r="DI21" s="20" t="e">
        <f t="shared" si="23"/>
        <v>#DIV/0!</v>
      </c>
      <c r="DJ21" s="20" t="e">
        <f t="shared" si="23"/>
        <v>#DIV/0!</v>
      </c>
      <c r="DK21" s="20" t="e">
        <f t="shared" si="23"/>
        <v>#DIV/0!</v>
      </c>
      <c r="DL21" s="20" t="e">
        <f t="shared" si="23"/>
        <v>#DIV/0!</v>
      </c>
      <c r="DM21" s="20" t="e">
        <f t="shared" si="23"/>
        <v>#DIV/0!</v>
      </c>
      <c r="DN21" s="20" t="e">
        <f t="shared" si="23"/>
        <v>#DIV/0!</v>
      </c>
      <c r="DO21" s="20" t="e">
        <f t="shared" si="23"/>
        <v>#DIV/0!</v>
      </c>
      <c r="DP21" s="20" t="e">
        <f t="shared" si="23"/>
        <v>#DIV/0!</v>
      </c>
      <c r="DQ21" s="20" t="e">
        <f t="shared" si="23"/>
        <v>#DIV/0!</v>
      </c>
      <c r="DR21" s="20" t="e">
        <f t="shared" si="23"/>
        <v>#DIV/0!</v>
      </c>
      <c r="DS21" s="20" t="e">
        <f t="shared" si="23"/>
        <v>#DIV/0!</v>
      </c>
      <c r="DT21" s="20" t="e">
        <f t="shared" si="23"/>
        <v>#DIV/0!</v>
      </c>
      <c r="DU21" s="20" t="e">
        <f t="shared" si="23"/>
        <v>#DIV/0!</v>
      </c>
      <c r="DV21" s="20" t="e">
        <f t="shared" si="23"/>
        <v>#DIV/0!</v>
      </c>
      <c r="DW21" s="20" t="e">
        <f t="shared" si="23"/>
        <v>#DIV/0!</v>
      </c>
      <c r="DX21" s="20" t="e">
        <f t="shared" si="23"/>
        <v>#DIV/0!</v>
      </c>
      <c r="DY21" s="20" t="e">
        <f t="shared" si="23"/>
        <v>#DIV/0!</v>
      </c>
      <c r="DZ21" s="20" t="e">
        <f t="shared" si="23"/>
        <v>#DIV/0!</v>
      </c>
      <c r="EA21" s="20" t="e">
        <f t="shared" si="23"/>
        <v>#DIV/0!</v>
      </c>
      <c r="EB21" s="20" t="e">
        <f t="shared" si="23"/>
        <v>#DIV/0!</v>
      </c>
      <c r="EC21" s="20" t="e">
        <f t="shared" si="23"/>
        <v>#DIV/0!</v>
      </c>
      <c r="ED21" s="20" t="e">
        <f t="shared" si="23"/>
        <v>#DIV/0!</v>
      </c>
      <c r="EE21" s="20" t="e">
        <f t="shared" si="23"/>
        <v>#DIV/0!</v>
      </c>
      <c r="EF21" s="20" t="e">
        <f t="shared" si="23"/>
        <v>#DIV/0!</v>
      </c>
      <c r="EG21" s="20" t="e">
        <f t="shared" si="23"/>
        <v>#DIV/0!</v>
      </c>
      <c r="EH21" s="20" t="e">
        <f t="shared" si="23"/>
        <v>#DIV/0!</v>
      </c>
      <c r="EI21" s="20" t="e">
        <f t="shared" si="23"/>
        <v>#DIV/0!</v>
      </c>
      <c r="EJ21" s="20" t="e">
        <f t="shared" si="23"/>
        <v>#DIV/0!</v>
      </c>
      <c r="EK21" s="20" t="e">
        <f t="shared" si="23"/>
        <v>#DIV/0!</v>
      </c>
      <c r="EL21" s="20" t="e">
        <f t="shared" si="23"/>
        <v>#DIV/0!</v>
      </c>
      <c r="EM21" s="20" t="e">
        <f t="shared" si="23"/>
        <v>#DIV/0!</v>
      </c>
      <c r="EN21" s="20" t="e">
        <f t="shared" si="23"/>
        <v>#DIV/0!</v>
      </c>
      <c r="EO21" s="20" t="e">
        <f t="shared" si="23"/>
        <v>#DIV/0!</v>
      </c>
      <c r="EP21" s="20" t="e">
        <f t="shared" si="23"/>
        <v>#DIV/0!</v>
      </c>
      <c r="EQ21" s="20" t="e">
        <f t="shared" si="23"/>
        <v>#DIV/0!</v>
      </c>
      <c r="ER21" s="20" t="e">
        <f t="shared" si="23"/>
        <v>#DIV/0!</v>
      </c>
      <c r="ES21" s="20" t="e">
        <f t="shared" si="23"/>
        <v>#DIV/0!</v>
      </c>
      <c r="ET21" s="20" t="e">
        <f t="shared" si="23"/>
        <v>#DIV/0!</v>
      </c>
      <c r="EU21" s="20" t="e">
        <f t="shared" si="23"/>
        <v>#DIV/0!</v>
      </c>
      <c r="EV21" s="20" t="e">
        <f t="shared" si="23"/>
        <v>#DIV/0!</v>
      </c>
      <c r="EW21" s="20" t="e">
        <f t="shared" si="23"/>
        <v>#DIV/0!</v>
      </c>
      <c r="EX21" s="20" t="e">
        <f t="shared" si="23"/>
        <v>#DIV/0!</v>
      </c>
      <c r="EY21" s="20" t="e">
        <f t="shared" si="23"/>
        <v>#DIV/0!</v>
      </c>
    </row>
    <row r="22" spans="1:155" hidden="1" x14ac:dyDescent="0.3"/>
    <row r="23" spans="1:155" hidden="1" x14ac:dyDescent="0.3">
      <c r="A23" s="36"/>
      <c r="B23" s="36"/>
      <c r="C23" s="37"/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hidden="1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</row>
    <row r="25" spans="1:155" hidden="1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</row>
    <row r="26" spans="1:155" hidden="1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Y26" si="24">DE25</f>
        <v>0</v>
      </c>
      <c r="DF26" s="22">
        <f t="shared" si="24"/>
        <v>0</v>
      </c>
      <c r="DG26" s="22">
        <f t="shared" si="24"/>
        <v>0</v>
      </c>
      <c r="DH26" s="22">
        <f t="shared" si="24"/>
        <v>0</v>
      </c>
      <c r="DI26" s="22">
        <f t="shared" si="24"/>
        <v>0</v>
      </c>
      <c r="DJ26" s="22">
        <f t="shared" si="24"/>
        <v>0</v>
      </c>
      <c r="DK26" s="22">
        <f t="shared" si="24"/>
        <v>0</v>
      </c>
      <c r="DL26" s="22">
        <f t="shared" si="24"/>
        <v>0</v>
      </c>
      <c r="DM26" s="22">
        <f t="shared" si="24"/>
        <v>0</v>
      </c>
      <c r="DN26" s="22">
        <f t="shared" si="24"/>
        <v>0</v>
      </c>
      <c r="DO26" s="22">
        <f t="shared" si="24"/>
        <v>0</v>
      </c>
      <c r="DP26" s="22">
        <f t="shared" si="24"/>
        <v>0</v>
      </c>
      <c r="DQ26" s="22">
        <f t="shared" si="24"/>
        <v>0</v>
      </c>
      <c r="DR26" s="22">
        <f t="shared" si="24"/>
        <v>0</v>
      </c>
      <c r="DS26" s="22">
        <f t="shared" si="24"/>
        <v>0</v>
      </c>
      <c r="DT26" s="22">
        <f t="shared" si="24"/>
        <v>0</v>
      </c>
      <c r="DU26" s="22">
        <f t="shared" si="24"/>
        <v>0</v>
      </c>
      <c r="DV26" s="22">
        <f t="shared" si="24"/>
        <v>0</v>
      </c>
      <c r="DW26" s="22">
        <f t="shared" si="24"/>
        <v>0</v>
      </c>
      <c r="DX26" s="22">
        <f t="shared" si="24"/>
        <v>0</v>
      </c>
      <c r="DY26" s="22">
        <f t="shared" si="24"/>
        <v>0</v>
      </c>
      <c r="DZ26" s="22">
        <f t="shared" si="24"/>
        <v>0</v>
      </c>
      <c r="EA26" s="22">
        <f t="shared" si="24"/>
        <v>0</v>
      </c>
      <c r="EB26" s="22">
        <f t="shared" si="24"/>
        <v>0</v>
      </c>
      <c r="EC26" s="22">
        <f t="shared" si="24"/>
        <v>0</v>
      </c>
      <c r="ED26" s="22">
        <f t="shared" si="24"/>
        <v>0</v>
      </c>
      <c r="EE26" s="22">
        <f t="shared" si="24"/>
        <v>0</v>
      </c>
      <c r="EF26" s="22">
        <f t="shared" si="24"/>
        <v>0</v>
      </c>
      <c r="EG26" s="22">
        <f t="shared" si="24"/>
        <v>0</v>
      </c>
      <c r="EH26" s="22">
        <f t="shared" si="24"/>
        <v>0</v>
      </c>
      <c r="EI26" s="22">
        <f t="shared" si="24"/>
        <v>0</v>
      </c>
      <c r="EJ26" s="22">
        <f t="shared" si="24"/>
        <v>0</v>
      </c>
      <c r="EK26" s="22">
        <f t="shared" si="24"/>
        <v>0</v>
      </c>
      <c r="EL26" s="22">
        <f t="shared" si="24"/>
        <v>0</v>
      </c>
      <c r="EM26" s="22">
        <f t="shared" si="24"/>
        <v>0</v>
      </c>
      <c r="EN26" s="22">
        <f t="shared" si="24"/>
        <v>0</v>
      </c>
      <c r="EO26" s="22">
        <f t="shared" si="24"/>
        <v>0</v>
      </c>
      <c r="EP26" s="22">
        <f t="shared" si="24"/>
        <v>0</v>
      </c>
      <c r="EQ26" s="22">
        <f t="shared" si="24"/>
        <v>0</v>
      </c>
      <c r="ER26" s="22">
        <f t="shared" si="24"/>
        <v>0</v>
      </c>
      <c r="ES26" s="22">
        <f t="shared" si="24"/>
        <v>0</v>
      </c>
      <c r="ET26" s="22">
        <f t="shared" si="24"/>
        <v>0</v>
      </c>
      <c r="EU26" s="22">
        <f t="shared" si="24"/>
        <v>0</v>
      </c>
      <c r="EV26" s="22">
        <f t="shared" si="24"/>
        <v>0</v>
      </c>
      <c r="EW26" s="22">
        <f t="shared" si="24"/>
        <v>0</v>
      </c>
      <c r="EX26" s="22">
        <f t="shared" si="24"/>
        <v>0</v>
      </c>
      <c r="EY26" s="22">
        <f t="shared" si="24"/>
        <v>0</v>
      </c>
    </row>
    <row r="27" spans="1:155" hidden="1" x14ac:dyDescent="0.3">
      <c r="A27" s="36"/>
      <c r="B27" s="36"/>
      <c r="C27" s="38"/>
      <c r="D27" s="15" t="s">
        <v>16</v>
      </c>
      <c r="E27" s="19" t="e">
        <f t="shared" ref="E27:BP28" si="25">E25/E23</f>
        <v>#DIV/0!</v>
      </c>
      <c r="F27" s="19" t="e">
        <f t="shared" si="25"/>
        <v>#DIV/0!</v>
      </c>
      <c r="G27" s="19" t="e">
        <f t="shared" si="25"/>
        <v>#DIV/0!</v>
      </c>
      <c r="H27" s="19" t="e">
        <f t="shared" si="25"/>
        <v>#DIV/0!</v>
      </c>
      <c r="I27" s="19" t="e">
        <f t="shared" si="25"/>
        <v>#DIV/0!</v>
      </c>
      <c r="J27" s="19" t="e">
        <f t="shared" si="25"/>
        <v>#DIV/0!</v>
      </c>
      <c r="K27" s="19" t="e">
        <f t="shared" si="25"/>
        <v>#DIV/0!</v>
      </c>
      <c r="L27" s="19" t="e">
        <f t="shared" si="25"/>
        <v>#DIV/0!</v>
      </c>
      <c r="M27" s="19" t="e">
        <f t="shared" si="25"/>
        <v>#DIV/0!</v>
      </c>
      <c r="N27" s="19" t="e">
        <f t="shared" si="25"/>
        <v>#DIV/0!</v>
      </c>
      <c r="O27" s="19" t="e">
        <f t="shared" si="25"/>
        <v>#DIV/0!</v>
      </c>
      <c r="P27" s="19" t="e">
        <f t="shared" si="25"/>
        <v>#DIV/0!</v>
      </c>
      <c r="Q27" s="19" t="e">
        <f t="shared" si="25"/>
        <v>#DIV/0!</v>
      </c>
      <c r="R27" s="19" t="e">
        <f t="shared" si="25"/>
        <v>#DIV/0!</v>
      </c>
      <c r="S27" s="19" t="e">
        <f t="shared" si="25"/>
        <v>#DIV/0!</v>
      </c>
      <c r="T27" s="19" t="e">
        <f t="shared" si="25"/>
        <v>#DIV/0!</v>
      </c>
      <c r="U27" s="19" t="e">
        <f t="shared" si="25"/>
        <v>#DIV/0!</v>
      </c>
      <c r="V27" s="19" t="e">
        <f t="shared" si="25"/>
        <v>#DIV/0!</v>
      </c>
      <c r="W27" s="19" t="e">
        <f t="shared" si="25"/>
        <v>#DIV/0!</v>
      </c>
      <c r="X27" s="19" t="e">
        <f t="shared" si="25"/>
        <v>#DIV/0!</v>
      </c>
      <c r="Y27" s="19" t="e">
        <f t="shared" si="25"/>
        <v>#DIV/0!</v>
      </c>
      <c r="Z27" s="19" t="e">
        <f t="shared" si="25"/>
        <v>#DIV/0!</v>
      </c>
      <c r="AA27" s="19" t="e">
        <f t="shared" si="25"/>
        <v>#DIV/0!</v>
      </c>
      <c r="AB27" s="19" t="e">
        <f t="shared" si="25"/>
        <v>#DIV/0!</v>
      </c>
      <c r="AC27" s="19" t="e">
        <f t="shared" si="25"/>
        <v>#DIV/0!</v>
      </c>
      <c r="AD27" s="19" t="e">
        <f t="shared" si="25"/>
        <v>#DIV/0!</v>
      </c>
      <c r="AE27" s="19" t="e">
        <f t="shared" si="25"/>
        <v>#DIV/0!</v>
      </c>
      <c r="AF27" s="19" t="e">
        <f t="shared" si="25"/>
        <v>#DIV/0!</v>
      </c>
      <c r="AG27" s="19" t="e">
        <f t="shared" si="25"/>
        <v>#DIV/0!</v>
      </c>
      <c r="AH27" s="19" t="e">
        <f t="shared" si="25"/>
        <v>#DIV/0!</v>
      </c>
      <c r="AI27" s="19" t="e">
        <f t="shared" si="25"/>
        <v>#DIV/0!</v>
      </c>
      <c r="AJ27" s="19" t="e">
        <f t="shared" si="25"/>
        <v>#DIV/0!</v>
      </c>
      <c r="AK27" s="19" t="e">
        <f t="shared" si="25"/>
        <v>#DIV/0!</v>
      </c>
      <c r="AL27" s="19" t="e">
        <f t="shared" si="25"/>
        <v>#DIV/0!</v>
      </c>
      <c r="AM27" s="19" t="e">
        <f t="shared" si="25"/>
        <v>#DIV/0!</v>
      </c>
      <c r="AN27" s="19" t="e">
        <f t="shared" si="25"/>
        <v>#DIV/0!</v>
      </c>
      <c r="AO27" s="19" t="e">
        <f t="shared" si="25"/>
        <v>#DIV/0!</v>
      </c>
      <c r="AP27" s="19" t="e">
        <f t="shared" si="25"/>
        <v>#DIV/0!</v>
      </c>
      <c r="AQ27" s="19" t="e">
        <f t="shared" si="25"/>
        <v>#DIV/0!</v>
      </c>
      <c r="AR27" s="19" t="e">
        <f t="shared" si="25"/>
        <v>#DIV/0!</v>
      </c>
      <c r="AS27" s="19" t="e">
        <f t="shared" si="25"/>
        <v>#DIV/0!</v>
      </c>
      <c r="AT27" s="19" t="e">
        <f t="shared" si="25"/>
        <v>#DIV/0!</v>
      </c>
      <c r="AU27" s="19" t="e">
        <f t="shared" si="25"/>
        <v>#DIV/0!</v>
      </c>
      <c r="AV27" s="19" t="e">
        <f t="shared" si="25"/>
        <v>#DIV/0!</v>
      </c>
      <c r="AW27" s="19" t="e">
        <f t="shared" si="25"/>
        <v>#DIV/0!</v>
      </c>
      <c r="AX27" s="19" t="e">
        <f t="shared" si="25"/>
        <v>#DIV/0!</v>
      </c>
      <c r="AY27" s="19" t="e">
        <f t="shared" si="25"/>
        <v>#DIV/0!</v>
      </c>
      <c r="AZ27" s="19" t="e">
        <f t="shared" si="25"/>
        <v>#DIV/0!</v>
      </c>
      <c r="BA27" s="19" t="e">
        <f t="shared" si="25"/>
        <v>#DIV/0!</v>
      </c>
      <c r="BB27" s="19" t="e">
        <f t="shared" si="25"/>
        <v>#DIV/0!</v>
      </c>
      <c r="BC27" s="19" t="e">
        <f t="shared" si="25"/>
        <v>#DIV/0!</v>
      </c>
      <c r="BD27" s="19" t="e">
        <f t="shared" si="25"/>
        <v>#DIV/0!</v>
      </c>
      <c r="BE27" s="19" t="e">
        <f t="shared" si="25"/>
        <v>#DIV/0!</v>
      </c>
      <c r="BF27" s="19" t="e">
        <f t="shared" si="25"/>
        <v>#DIV/0!</v>
      </c>
      <c r="BG27" s="19" t="e">
        <f t="shared" si="25"/>
        <v>#DIV/0!</v>
      </c>
      <c r="BH27" s="19" t="e">
        <f t="shared" si="25"/>
        <v>#DIV/0!</v>
      </c>
      <c r="BI27" s="19" t="e">
        <f t="shared" si="25"/>
        <v>#DIV/0!</v>
      </c>
      <c r="BJ27" s="19" t="e">
        <f t="shared" si="25"/>
        <v>#DIV/0!</v>
      </c>
      <c r="BK27" s="19" t="e">
        <f t="shared" si="25"/>
        <v>#DIV/0!</v>
      </c>
      <c r="BL27" s="19" t="e">
        <f t="shared" si="25"/>
        <v>#DIV/0!</v>
      </c>
      <c r="BM27" s="19" t="e">
        <f t="shared" si="25"/>
        <v>#DIV/0!</v>
      </c>
      <c r="BN27" s="19" t="e">
        <f t="shared" si="25"/>
        <v>#DIV/0!</v>
      </c>
      <c r="BO27" s="19" t="e">
        <f t="shared" si="25"/>
        <v>#DIV/0!</v>
      </c>
      <c r="BP27" s="19" t="e">
        <f t="shared" si="25"/>
        <v>#DIV/0!</v>
      </c>
      <c r="BQ27" s="19" t="e">
        <f t="shared" ref="BQ27:EB27" si="26">BQ25/BQ23</f>
        <v>#DIV/0!</v>
      </c>
      <c r="BR27" s="19" t="e">
        <f t="shared" si="26"/>
        <v>#DIV/0!</v>
      </c>
      <c r="BS27" s="19" t="e">
        <f t="shared" si="26"/>
        <v>#DIV/0!</v>
      </c>
      <c r="BT27" s="19" t="e">
        <f t="shared" si="26"/>
        <v>#DIV/0!</v>
      </c>
      <c r="BU27" s="19" t="e">
        <f t="shared" si="26"/>
        <v>#DIV/0!</v>
      </c>
      <c r="BV27" s="19" t="e">
        <f t="shared" si="26"/>
        <v>#DIV/0!</v>
      </c>
      <c r="BW27" s="19" t="e">
        <f t="shared" si="26"/>
        <v>#DIV/0!</v>
      </c>
      <c r="BX27" s="19" t="e">
        <f t="shared" si="26"/>
        <v>#DIV/0!</v>
      </c>
      <c r="BY27" s="19" t="e">
        <f t="shared" si="26"/>
        <v>#DIV/0!</v>
      </c>
      <c r="BZ27" s="19" t="e">
        <f t="shared" si="26"/>
        <v>#DIV/0!</v>
      </c>
      <c r="CA27" s="19" t="e">
        <f t="shared" si="26"/>
        <v>#DIV/0!</v>
      </c>
      <c r="CB27" s="19" t="e">
        <f t="shared" si="26"/>
        <v>#DIV/0!</v>
      </c>
      <c r="CC27" s="19" t="e">
        <f t="shared" si="26"/>
        <v>#DIV/0!</v>
      </c>
      <c r="CD27" s="19" t="e">
        <f t="shared" si="26"/>
        <v>#DIV/0!</v>
      </c>
      <c r="CE27" s="19" t="e">
        <f t="shared" si="26"/>
        <v>#DIV/0!</v>
      </c>
      <c r="CF27" s="19" t="e">
        <f t="shared" si="26"/>
        <v>#DIV/0!</v>
      </c>
      <c r="CG27" s="19" t="e">
        <f t="shared" si="26"/>
        <v>#DIV/0!</v>
      </c>
      <c r="CH27" s="19" t="e">
        <f t="shared" si="26"/>
        <v>#DIV/0!</v>
      </c>
      <c r="CI27" s="19" t="e">
        <f t="shared" si="26"/>
        <v>#DIV/0!</v>
      </c>
      <c r="CJ27" s="19" t="e">
        <f t="shared" si="26"/>
        <v>#DIV/0!</v>
      </c>
      <c r="CK27" s="19" t="e">
        <f t="shared" si="26"/>
        <v>#DIV/0!</v>
      </c>
      <c r="CL27" s="19" t="e">
        <f t="shared" si="26"/>
        <v>#DIV/0!</v>
      </c>
      <c r="CM27" s="19" t="e">
        <f t="shared" si="26"/>
        <v>#DIV/0!</v>
      </c>
      <c r="CN27" s="19" t="e">
        <f t="shared" si="26"/>
        <v>#DIV/0!</v>
      </c>
      <c r="CO27" s="19" t="e">
        <f t="shared" si="26"/>
        <v>#DIV/0!</v>
      </c>
      <c r="CP27" s="19" t="e">
        <f t="shared" si="26"/>
        <v>#DIV/0!</v>
      </c>
      <c r="CQ27" s="19" t="e">
        <f t="shared" si="26"/>
        <v>#DIV/0!</v>
      </c>
      <c r="CR27" s="19" t="e">
        <f t="shared" si="26"/>
        <v>#DIV/0!</v>
      </c>
      <c r="CS27" s="19" t="e">
        <f t="shared" si="26"/>
        <v>#DIV/0!</v>
      </c>
      <c r="CT27" s="19" t="e">
        <f t="shared" si="26"/>
        <v>#DIV/0!</v>
      </c>
      <c r="CU27" s="19" t="e">
        <f t="shared" si="26"/>
        <v>#DIV/0!</v>
      </c>
      <c r="CV27" s="19" t="e">
        <f t="shared" si="26"/>
        <v>#DIV/0!</v>
      </c>
      <c r="CW27" s="19" t="e">
        <f t="shared" si="26"/>
        <v>#DIV/0!</v>
      </c>
      <c r="CX27" s="19" t="e">
        <f t="shared" si="26"/>
        <v>#DIV/0!</v>
      </c>
      <c r="CY27" s="19" t="e">
        <f t="shared" si="26"/>
        <v>#DIV/0!</v>
      </c>
      <c r="CZ27" s="19" t="e">
        <f t="shared" si="26"/>
        <v>#DIV/0!</v>
      </c>
      <c r="DA27" s="19" t="e">
        <f t="shared" si="26"/>
        <v>#DIV/0!</v>
      </c>
      <c r="DB27" s="19" t="e">
        <f t="shared" si="26"/>
        <v>#DIV/0!</v>
      </c>
      <c r="DC27" s="19" t="e">
        <f t="shared" si="26"/>
        <v>#DIV/0!</v>
      </c>
      <c r="DD27" s="19" t="e">
        <f t="shared" si="26"/>
        <v>#DIV/0!</v>
      </c>
      <c r="DE27" s="19" t="e">
        <f t="shared" si="26"/>
        <v>#DIV/0!</v>
      </c>
      <c r="DF27" s="19" t="e">
        <f t="shared" si="26"/>
        <v>#DIV/0!</v>
      </c>
      <c r="DG27" s="19" t="e">
        <f t="shared" si="26"/>
        <v>#DIV/0!</v>
      </c>
      <c r="DH27" s="19" t="e">
        <f t="shared" si="26"/>
        <v>#DIV/0!</v>
      </c>
      <c r="DI27" s="19" t="e">
        <f t="shared" si="26"/>
        <v>#DIV/0!</v>
      </c>
      <c r="DJ27" s="19" t="e">
        <f t="shared" si="26"/>
        <v>#DIV/0!</v>
      </c>
      <c r="DK27" s="19" t="e">
        <f t="shared" si="26"/>
        <v>#DIV/0!</v>
      </c>
      <c r="DL27" s="19" t="e">
        <f t="shared" si="26"/>
        <v>#DIV/0!</v>
      </c>
      <c r="DM27" s="19" t="e">
        <f t="shared" si="26"/>
        <v>#DIV/0!</v>
      </c>
      <c r="DN27" s="19" t="e">
        <f t="shared" si="26"/>
        <v>#DIV/0!</v>
      </c>
      <c r="DO27" s="19" t="e">
        <f t="shared" si="26"/>
        <v>#DIV/0!</v>
      </c>
      <c r="DP27" s="19" t="e">
        <f t="shared" si="26"/>
        <v>#DIV/0!</v>
      </c>
      <c r="DQ27" s="19" t="e">
        <f t="shared" si="26"/>
        <v>#DIV/0!</v>
      </c>
      <c r="DR27" s="19" t="e">
        <f t="shared" si="26"/>
        <v>#DIV/0!</v>
      </c>
      <c r="DS27" s="19" t="e">
        <f t="shared" si="26"/>
        <v>#DIV/0!</v>
      </c>
      <c r="DT27" s="19" t="e">
        <f t="shared" si="26"/>
        <v>#DIV/0!</v>
      </c>
      <c r="DU27" s="19" t="e">
        <f t="shared" si="26"/>
        <v>#DIV/0!</v>
      </c>
      <c r="DV27" s="19" t="e">
        <f t="shared" si="26"/>
        <v>#DIV/0!</v>
      </c>
      <c r="DW27" s="19" t="e">
        <f t="shared" si="26"/>
        <v>#DIV/0!</v>
      </c>
      <c r="DX27" s="19" t="e">
        <f t="shared" si="26"/>
        <v>#DIV/0!</v>
      </c>
      <c r="DY27" s="19" t="e">
        <f t="shared" si="26"/>
        <v>#DIV/0!</v>
      </c>
      <c r="DZ27" s="19" t="e">
        <f t="shared" si="26"/>
        <v>#DIV/0!</v>
      </c>
      <c r="EA27" s="19" t="e">
        <f t="shared" si="26"/>
        <v>#DIV/0!</v>
      </c>
      <c r="EB27" s="19" t="e">
        <f t="shared" si="26"/>
        <v>#DIV/0!</v>
      </c>
      <c r="EC27" s="19" t="e">
        <f t="shared" ref="EC27:EY27" si="27">EC25/EC23</f>
        <v>#DIV/0!</v>
      </c>
      <c r="ED27" s="19" t="e">
        <f t="shared" si="27"/>
        <v>#DIV/0!</v>
      </c>
      <c r="EE27" s="19" t="e">
        <f t="shared" si="27"/>
        <v>#DIV/0!</v>
      </c>
      <c r="EF27" s="19" t="e">
        <f t="shared" si="27"/>
        <v>#DIV/0!</v>
      </c>
      <c r="EG27" s="19" t="e">
        <f t="shared" si="27"/>
        <v>#DIV/0!</v>
      </c>
      <c r="EH27" s="19" t="e">
        <f t="shared" si="27"/>
        <v>#DIV/0!</v>
      </c>
      <c r="EI27" s="19" t="e">
        <f t="shared" si="27"/>
        <v>#DIV/0!</v>
      </c>
      <c r="EJ27" s="19" t="e">
        <f t="shared" si="27"/>
        <v>#DIV/0!</v>
      </c>
      <c r="EK27" s="19" t="e">
        <f t="shared" si="27"/>
        <v>#DIV/0!</v>
      </c>
      <c r="EL27" s="19" t="e">
        <f t="shared" si="27"/>
        <v>#DIV/0!</v>
      </c>
      <c r="EM27" s="19" t="e">
        <f t="shared" si="27"/>
        <v>#DIV/0!</v>
      </c>
      <c r="EN27" s="19" t="e">
        <f t="shared" si="27"/>
        <v>#DIV/0!</v>
      </c>
      <c r="EO27" s="19" t="e">
        <f t="shared" si="27"/>
        <v>#DIV/0!</v>
      </c>
      <c r="EP27" s="19" t="e">
        <f t="shared" si="27"/>
        <v>#DIV/0!</v>
      </c>
      <c r="EQ27" s="19" t="e">
        <f t="shared" si="27"/>
        <v>#DIV/0!</v>
      </c>
      <c r="ER27" s="19" t="e">
        <f t="shared" si="27"/>
        <v>#DIV/0!</v>
      </c>
      <c r="ES27" s="19" t="e">
        <f t="shared" si="27"/>
        <v>#DIV/0!</v>
      </c>
      <c r="ET27" s="19" t="e">
        <f t="shared" si="27"/>
        <v>#DIV/0!</v>
      </c>
      <c r="EU27" s="19" t="e">
        <f t="shared" si="27"/>
        <v>#DIV/0!</v>
      </c>
      <c r="EV27" s="19" t="e">
        <f t="shared" si="27"/>
        <v>#DIV/0!</v>
      </c>
      <c r="EW27" s="19" t="e">
        <f t="shared" si="27"/>
        <v>#DIV/0!</v>
      </c>
      <c r="EX27" s="19" t="e">
        <f t="shared" si="27"/>
        <v>#DIV/0!</v>
      </c>
      <c r="EY27" s="19" t="e">
        <f t="shared" si="27"/>
        <v>#DIV/0!</v>
      </c>
    </row>
    <row r="28" spans="1:155" hidden="1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28">F25/F24</f>
        <v>#DIV/0!</v>
      </c>
      <c r="G28" s="20" t="e">
        <f t="shared" si="28"/>
        <v>#DIV/0!</v>
      </c>
      <c r="H28" s="20" t="e">
        <f t="shared" si="28"/>
        <v>#DIV/0!</v>
      </c>
      <c r="I28" s="20" t="e">
        <f t="shared" si="28"/>
        <v>#DIV/0!</v>
      </c>
      <c r="J28" s="20" t="e">
        <f t="shared" si="28"/>
        <v>#DIV/0!</v>
      </c>
      <c r="K28" s="20" t="e">
        <f t="shared" si="28"/>
        <v>#DIV/0!</v>
      </c>
      <c r="L28" s="20" t="e">
        <f t="shared" si="28"/>
        <v>#DIV/0!</v>
      </c>
      <c r="M28" s="20" t="e">
        <f t="shared" si="28"/>
        <v>#DIV/0!</v>
      </c>
      <c r="N28" s="20" t="e">
        <f t="shared" si="28"/>
        <v>#DIV/0!</v>
      </c>
      <c r="O28" s="20" t="e">
        <f t="shared" si="28"/>
        <v>#DIV/0!</v>
      </c>
      <c r="P28" s="20" t="e">
        <f t="shared" si="28"/>
        <v>#DIV/0!</v>
      </c>
      <c r="Q28" s="20" t="e">
        <f t="shared" si="28"/>
        <v>#DIV/0!</v>
      </c>
      <c r="R28" s="20" t="e">
        <f t="shared" si="28"/>
        <v>#DIV/0!</v>
      </c>
      <c r="S28" s="20" t="e">
        <f t="shared" si="28"/>
        <v>#DIV/0!</v>
      </c>
      <c r="T28" s="20" t="e">
        <f t="shared" si="28"/>
        <v>#DIV/0!</v>
      </c>
      <c r="U28" s="20" t="e">
        <f t="shared" si="28"/>
        <v>#DIV/0!</v>
      </c>
      <c r="V28" s="20" t="e">
        <f t="shared" si="28"/>
        <v>#DIV/0!</v>
      </c>
      <c r="W28" s="20" t="e">
        <f t="shared" si="28"/>
        <v>#DIV/0!</v>
      </c>
      <c r="X28" s="20" t="e">
        <f t="shared" si="28"/>
        <v>#DIV/0!</v>
      </c>
      <c r="Y28" s="20" t="e">
        <f t="shared" si="28"/>
        <v>#DIV/0!</v>
      </c>
      <c r="Z28" s="20" t="e">
        <f t="shared" si="28"/>
        <v>#DIV/0!</v>
      </c>
      <c r="AA28" s="20" t="e">
        <f t="shared" si="28"/>
        <v>#DIV/0!</v>
      </c>
      <c r="AB28" s="20" t="e">
        <f>AB26/AB24</f>
        <v>#DIV/0!</v>
      </c>
      <c r="AC28" s="20" t="e">
        <f t="shared" si="25"/>
        <v>#DIV/0!</v>
      </c>
      <c r="AD28" s="20" t="e">
        <f t="shared" si="25"/>
        <v>#DIV/0!</v>
      </c>
      <c r="AE28" s="20" t="e">
        <f t="shared" si="25"/>
        <v>#DIV/0!</v>
      </c>
      <c r="AF28" s="20" t="e">
        <f t="shared" si="25"/>
        <v>#DIV/0!</v>
      </c>
      <c r="AG28" s="20" t="e">
        <f t="shared" si="25"/>
        <v>#DIV/0!</v>
      </c>
      <c r="AH28" s="20" t="e">
        <f t="shared" si="25"/>
        <v>#DIV/0!</v>
      </c>
      <c r="AI28" s="20" t="e">
        <f t="shared" si="25"/>
        <v>#DIV/0!</v>
      </c>
      <c r="AJ28" s="20" t="e">
        <f t="shared" si="25"/>
        <v>#DIV/0!</v>
      </c>
      <c r="AK28" s="20" t="e">
        <f t="shared" si="25"/>
        <v>#DIV/0!</v>
      </c>
      <c r="AL28" s="20" t="e">
        <f t="shared" si="25"/>
        <v>#DIV/0!</v>
      </c>
      <c r="AM28" s="20" t="e">
        <f>AM26/AM24</f>
        <v>#DIV/0!</v>
      </c>
      <c r="AN28" s="20" t="e">
        <f t="shared" si="25"/>
        <v>#DIV/0!</v>
      </c>
      <c r="AO28" s="20" t="e">
        <f t="shared" si="25"/>
        <v>#DIV/0!</v>
      </c>
      <c r="AP28" s="20" t="e">
        <f t="shared" si="25"/>
        <v>#DIV/0!</v>
      </c>
      <c r="AQ28" s="20" t="e">
        <f t="shared" si="25"/>
        <v>#DIV/0!</v>
      </c>
      <c r="AR28" s="20" t="e">
        <f t="shared" si="25"/>
        <v>#DIV/0!</v>
      </c>
      <c r="AS28" s="20" t="e">
        <f t="shared" ref="AS28:DD28" si="29">AS25/AS24</f>
        <v>#DIV/0!</v>
      </c>
      <c r="AT28" s="20" t="e">
        <f t="shared" si="29"/>
        <v>#DIV/0!</v>
      </c>
      <c r="AU28" s="20" t="e">
        <f t="shared" si="29"/>
        <v>#DIV/0!</v>
      </c>
      <c r="AV28" s="20" t="e">
        <f t="shared" si="29"/>
        <v>#DIV/0!</v>
      </c>
      <c r="AW28" s="20" t="e">
        <f t="shared" si="29"/>
        <v>#DIV/0!</v>
      </c>
      <c r="AX28" s="20" t="e">
        <f t="shared" si="29"/>
        <v>#DIV/0!</v>
      </c>
      <c r="AY28" s="20" t="e">
        <f t="shared" si="29"/>
        <v>#DIV/0!</v>
      </c>
      <c r="AZ28" s="20" t="e">
        <f t="shared" si="29"/>
        <v>#DIV/0!</v>
      </c>
      <c r="BA28" s="20" t="e">
        <f t="shared" si="29"/>
        <v>#DIV/0!</v>
      </c>
      <c r="BB28" s="20" t="e">
        <f t="shared" si="29"/>
        <v>#DIV/0!</v>
      </c>
      <c r="BC28" s="20" t="e">
        <f t="shared" si="29"/>
        <v>#DIV/0!</v>
      </c>
      <c r="BD28" s="20" t="e">
        <f t="shared" si="29"/>
        <v>#DIV/0!</v>
      </c>
      <c r="BE28" s="20" t="e">
        <f t="shared" si="29"/>
        <v>#DIV/0!</v>
      </c>
      <c r="BF28" s="20" t="e">
        <f t="shared" si="29"/>
        <v>#DIV/0!</v>
      </c>
      <c r="BG28" s="20" t="e">
        <f t="shared" si="29"/>
        <v>#DIV/0!</v>
      </c>
      <c r="BH28" s="20" t="e">
        <f t="shared" si="29"/>
        <v>#DIV/0!</v>
      </c>
      <c r="BI28" s="20" t="e">
        <f t="shared" si="29"/>
        <v>#DIV/0!</v>
      </c>
      <c r="BJ28" s="20" t="e">
        <f t="shared" si="29"/>
        <v>#DIV/0!</v>
      </c>
      <c r="BK28" s="20" t="e">
        <f t="shared" si="29"/>
        <v>#DIV/0!</v>
      </c>
      <c r="BL28" s="20" t="e">
        <f t="shared" si="29"/>
        <v>#DIV/0!</v>
      </c>
      <c r="BM28" s="20" t="e">
        <f t="shared" si="29"/>
        <v>#DIV/0!</v>
      </c>
      <c r="BN28" s="20" t="e">
        <f t="shared" si="29"/>
        <v>#DIV/0!</v>
      </c>
      <c r="BO28" s="20" t="e">
        <f t="shared" si="29"/>
        <v>#DIV/0!</v>
      </c>
      <c r="BP28" s="20" t="e">
        <f t="shared" si="29"/>
        <v>#DIV/0!</v>
      </c>
      <c r="BQ28" s="20" t="e">
        <f t="shared" si="29"/>
        <v>#DIV/0!</v>
      </c>
      <c r="BR28" s="20" t="e">
        <f t="shared" si="29"/>
        <v>#DIV/0!</v>
      </c>
      <c r="BS28" s="20" t="e">
        <f t="shared" si="29"/>
        <v>#DIV/0!</v>
      </c>
      <c r="BT28" s="20" t="e">
        <f t="shared" si="29"/>
        <v>#DIV/0!</v>
      </c>
      <c r="BU28" s="20" t="e">
        <f t="shared" si="29"/>
        <v>#DIV/0!</v>
      </c>
      <c r="BV28" s="20" t="e">
        <f t="shared" si="29"/>
        <v>#DIV/0!</v>
      </c>
      <c r="BW28" s="20" t="e">
        <f t="shared" si="29"/>
        <v>#DIV/0!</v>
      </c>
      <c r="BX28" s="20" t="e">
        <f t="shared" si="29"/>
        <v>#DIV/0!</v>
      </c>
      <c r="BY28" s="20" t="e">
        <f t="shared" si="29"/>
        <v>#DIV/0!</v>
      </c>
      <c r="BZ28" s="20" t="e">
        <f t="shared" si="29"/>
        <v>#DIV/0!</v>
      </c>
      <c r="CA28" s="20" t="e">
        <f t="shared" si="29"/>
        <v>#DIV/0!</v>
      </c>
      <c r="CB28" s="20" t="e">
        <f t="shared" si="29"/>
        <v>#DIV/0!</v>
      </c>
      <c r="CC28" s="20" t="e">
        <f t="shared" si="29"/>
        <v>#DIV/0!</v>
      </c>
      <c r="CD28" s="20" t="e">
        <f t="shared" si="29"/>
        <v>#DIV/0!</v>
      </c>
      <c r="CE28" s="20" t="e">
        <f t="shared" si="29"/>
        <v>#DIV/0!</v>
      </c>
      <c r="CF28" s="20" t="e">
        <f t="shared" si="29"/>
        <v>#DIV/0!</v>
      </c>
      <c r="CG28" s="20" t="e">
        <f t="shared" si="29"/>
        <v>#DIV/0!</v>
      </c>
      <c r="CH28" s="20" t="e">
        <f t="shared" si="29"/>
        <v>#DIV/0!</v>
      </c>
      <c r="CI28" s="20" t="e">
        <f t="shared" si="29"/>
        <v>#DIV/0!</v>
      </c>
      <c r="CJ28" s="20" t="e">
        <f t="shared" si="29"/>
        <v>#DIV/0!</v>
      </c>
      <c r="CK28" s="20" t="e">
        <f t="shared" si="29"/>
        <v>#DIV/0!</v>
      </c>
      <c r="CL28" s="20" t="e">
        <f t="shared" si="29"/>
        <v>#DIV/0!</v>
      </c>
      <c r="CM28" s="20" t="e">
        <f t="shared" si="29"/>
        <v>#DIV/0!</v>
      </c>
      <c r="CN28" s="20" t="e">
        <f t="shared" si="29"/>
        <v>#DIV/0!</v>
      </c>
      <c r="CO28" s="20" t="e">
        <f t="shared" si="29"/>
        <v>#DIV/0!</v>
      </c>
      <c r="CP28" s="20" t="e">
        <f t="shared" si="29"/>
        <v>#DIV/0!</v>
      </c>
      <c r="CQ28" s="20" t="e">
        <f t="shared" si="29"/>
        <v>#DIV/0!</v>
      </c>
      <c r="CR28" s="20" t="e">
        <f t="shared" si="29"/>
        <v>#DIV/0!</v>
      </c>
      <c r="CS28" s="20" t="e">
        <f t="shared" si="29"/>
        <v>#DIV/0!</v>
      </c>
      <c r="CT28" s="20" t="e">
        <f t="shared" si="29"/>
        <v>#DIV/0!</v>
      </c>
      <c r="CU28" s="20" t="e">
        <f t="shared" si="29"/>
        <v>#DIV/0!</v>
      </c>
      <c r="CV28" s="20" t="e">
        <f t="shared" si="29"/>
        <v>#DIV/0!</v>
      </c>
      <c r="CW28" s="20" t="e">
        <f t="shared" si="29"/>
        <v>#DIV/0!</v>
      </c>
      <c r="CX28" s="20" t="e">
        <f t="shared" si="29"/>
        <v>#DIV/0!</v>
      </c>
      <c r="CY28" s="20" t="e">
        <f t="shared" si="29"/>
        <v>#DIV/0!</v>
      </c>
      <c r="CZ28" s="20" t="e">
        <f t="shared" si="29"/>
        <v>#DIV/0!</v>
      </c>
      <c r="DA28" s="20" t="e">
        <f t="shared" si="29"/>
        <v>#DIV/0!</v>
      </c>
      <c r="DB28" s="20" t="e">
        <f t="shared" si="29"/>
        <v>#DIV/0!</v>
      </c>
      <c r="DC28" s="20" t="e">
        <f t="shared" si="29"/>
        <v>#DIV/0!</v>
      </c>
      <c r="DD28" s="20" t="e">
        <f t="shared" si="29"/>
        <v>#DIV/0!</v>
      </c>
      <c r="DE28" s="20" t="e">
        <f t="shared" ref="DE28:EY28" si="30">DE25/DE24</f>
        <v>#DIV/0!</v>
      </c>
      <c r="DF28" s="20" t="e">
        <f t="shared" si="30"/>
        <v>#DIV/0!</v>
      </c>
      <c r="DG28" s="20" t="e">
        <f t="shared" si="30"/>
        <v>#DIV/0!</v>
      </c>
      <c r="DH28" s="20" t="e">
        <f t="shared" si="30"/>
        <v>#DIV/0!</v>
      </c>
      <c r="DI28" s="20" t="e">
        <f t="shared" si="30"/>
        <v>#DIV/0!</v>
      </c>
      <c r="DJ28" s="20" t="e">
        <f t="shared" si="30"/>
        <v>#DIV/0!</v>
      </c>
      <c r="DK28" s="20" t="e">
        <f t="shared" si="30"/>
        <v>#DIV/0!</v>
      </c>
      <c r="DL28" s="20" t="e">
        <f t="shared" si="30"/>
        <v>#DIV/0!</v>
      </c>
      <c r="DM28" s="20" t="e">
        <f t="shared" si="30"/>
        <v>#DIV/0!</v>
      </c>
      <c r="DN28" s="20" t="e">
        <f t="shared" si="30"/>
        <v>#DIV/0!</v>
      </c>
      <c r="DO28" s="20" t="e">
        <f t="shared" si="30"/>
        <v>#DIV/0!</v>
      </c>
      <c r="DP28" s="20" t="e">
        <f t="shared" si="30"/>
        <v>#DIV/0!</v>
      </c>
      <c r="DQ28" s="20" t="e">
        <f t="shared" si="30"/>
        <v>#DIV/0!</v>
      </c>
      <c r="DR28" s="20" t="e">
        <f t="shared" si="30"/>
        <v>#DIV/0!</v>
      </c>
      <c r="DS28" s="20" t="e">
        <f t="shared" si="30"/>
        <v>#DIV/0!</v>
      </c>
      <c r="DT28" s="20" t="e">
        <f t="shared" si="30"/>
        <v>#DIV/0!</v>
      </c>
      <c r="DU28" s="20" t="e">
        <f t="shared" si="30"/>
        <v>#DIV/0!</v>
      </c>
      <c r="DV28" s="20" t="e">
        <f t="shared" si="30"/>
        <v>#DIV/0!</v>
      </c>
      <c r="DW28" s="20" t="e">
        <f t="shared" si="30"/>
        <v>#DIV/0!</v>
      </c>
      <c r="DX28" s="20" t="e">
        <f t="shared" si="30"/>
        <v>#DIV/0!</v>
      </c>
      <c r="DY28" s="20" t="e">
        <f t="shared" si="30"/>
        <v>#DIV/0!</v>
      </c>
      <c r="DZ28" s="20" t="e">
        <f t="shared" si="30"/>
        <v>#DIV/0!</v>
      </c>
      <c r="EA28" s="20" t="e">
        <f t="shared" si="30"/>
        <v>#DIV/0!</v>
      </c>
      <c r="EB28" s="20" t="e">
        <f t="shared" si="30"/>
        <v>#DIV/0!</v>
      </c>
      <c r="EC28" s="20" t="e">
        <f t="shared" si="30"/>
        <v>#DIV/0!</v>
      </c>
      <c r="ED28" s="20" t="e">
        <f t="shared" si="30"/>
        <v>#DIV/0!</v>
      </c>
      <c r="EE28" s="20" t="e">
        <f t="shared" si="30"/>
        <v>#DIV/0!</v>
      </c>
      <c r="EF28" s="20" t="e">
        <f t="shared" si="30"/>
        <v>#DIV/0!</v>
      </c>
      <c r="EG28" s="20" t="e">
        <f t="shared" si="30"/>
        <v>#DIV/0!</v>
      </c>
      <c r="EH28" s="20" t="e">
        <f t="shared" si="30"/>
        <v>#DIV/0!</v>
      </c>
      <c r="EI28" s="20" t="e">
        <f t="shared" si="30"/>
        <v>#DIV/0!</v>
      </c>
      <c r="EJ28" s="20" t="e">
        <f t="shared" si="30"/>
        <v>#DIV/0!</v>
      </c>
      <c r="EK28" s="20" t="e">
        <f t="shared" si="30"/>
        <v>#DIV/0!</v>
      </c>
      <c r="EL28" s="20" t="e">
        <f t="shared" si="30"/>
        <v>#DIV/0!</v>
      </c>
      <c r="EM28" s="20" t="e">
        <f t="shared" si="30"/>
        <v>#DIV/0!</v>
      </c>
      <c r="EN28" s="20" t="e">
        <f t="shared" si="30"/>
        <v>#DIV/0!</v>
      </c>
      <c r="EO28" s="20" t="e">
        <f t="shared" si="30"/>
        <v>#DIV/0!</v>
      </c>
      <c r="EP28" s="20" t="e">
        <f t="shared" si="30"/>
        <v>#DIV/0!</v>
      </c>
      <c r="EQ28" s="20" t="e">
        <f t="shared" si="30"/>
        <v>#DIV/0!</v>
      </c>
      <c r="ER28" s="20" t="e">
        <f t="shared" si="30"/>
        <v>#DIV/0!</v>
      </c>
      <c r="ES28" s="20" t="e">
        <f t="shared" si="30"/>
        <v>#DIV/0!</v>
      </c>
      <c r="ET28" s="20" t="e">
        <f t="shared" si="30"/>
        <v>#DIV/0!</v>
      </c>
      <c r="EU28" s="20" t="e">
        <f t="shared" si="30"/>
        <v>#DIV/0!</v>
      </c>
      <c r="EV28" s="20" t="e">
        <f t="shared" si="30"/>
        <v>#DIV/0!</v>
      </c>
      <c r="EW28" s="20" t="e">
        <f t="shared" si="30"/>
        <v>#DIV/0!</v>
      </c>
      <c r="EX28" s="20" t="e">
        <f t="shared" si="30"/>
        <v>#DIV/0!</v>
      </c>
      <c r="EY28" s="20" t="e">
        <f t="shared" si="30"/>
        <v>#DIV/0!</v>
      </c>
    </row>
    <row r="30" spans="1:155" x14ac:dyDescent="0.3">
      <c r="A30" s="36" t="s">
        <v>46</v>
      </c>
      <c r="B30" s="36" t="s">
        <v>47</v>
      </c>
      <c r="C30" s="40" t="s">
        <v>8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0</v>
      </c>
      <c r="BU30" s="16">
        <f t="shared" ref="BU30:EF33" si="31">BU2+BU9+BU16</f>
        <v>0</v>
      </c>
      <c r="BV30" s="16">
        <f t="shared" si="31"/>
        <v>0</v>
      </c>
      <c r="BW30" s="16">
        <f t="shared" si="31"/>
        <v>0</v>
      </c>
      <c r="BX30" s="16">
        <f t="shared" si="31"/>
        <v>0</v>
      </c>
      <c r="BY30" s="16">
        <f t="shared" si="31"/>
        <v>0</v>
      </c>
      <c r="BZ30" s="16">
        <f t="shared" si="31"/>
        <v>0</v>
      </c>
      <c r="CA30" s="16">
        <f t="shared" si="31"/>
        <v>0</v>
      </c>
      <c r="CB30" s="16">
        <f t="shared" si="31"/>
        <v>0</v>
      </c>
      <c r="CC30" s="16">
        <f t="shared" si="31"/>
        <v>0</v>
      </c>
      <c r="CD30" s="16">
        <f t="shared" si="31"/>
        <v>0</v>
      </c>
      <c r="CE30" s="16">
        <f t="shared" si="31"/>
        <v>0</v>
      </c>
      <c r="CF30" s="16">
        <f t="shared" si="31"/>
        <v>0</v>
      </c>
      <c r="CG30" s="16">
        <f t="shared" si="31"/>
        <v>0</v>
      </c>
      <c r="CH30" s="16">
        <f t="shared" si="31"/>
        <v>0</v>
      </c>
      <c r="CI30" s="16">
        <f t="shared" si="31"/>
        <v>0</v>
      </c>
      <c r="CJ30" s="16">
        <f t="shared" si="31"/>
        <v>0</v>
      </c>
      <c r="CK30" s="16">
        <f t="shared" si="31"/>
        <v>0</v>
      </c>
      <c r="CL30" s="16">
        <f t="shared" si="31"/>
        <v>0</v>
      </c>
      <c r="CM30" s="16">
        <f t="shared" si="31"/>
        <v>0</v>
      </c>
      <c r="CN30" s="16">
        <f t="shared" si="31"/>
        <v>0</v>
      </c>
      <c r="CO30" s="16">
        <f t="shared" si="31"/>
        <v>0</v>
      </c>
      <c r="CP30" s="16">
        <f t="shared" si="31"/>
        <v>0</v>
      </c>
      <c r="CQ30" s="16">
        <f t="shared" si="31"/>
        <v>0</v>
      </c>
      <c r="CR30" s="16">
        <f t="shared" si="31"/>
        <v>0</v>
      </c>
      <c r="CS30" s="16">
        <f t="shared" si="31"/>
        <v>0</v>
      </c>
      <c r="CT30" s="16">
        <f t="shared" si="31"/>
        <v>0</v>
      </c>
      <c r="CU30" s="16">
        <f t="shared" si="31"/>
        <v>0</v>
      </c>
      <c r="CV30" s="16">
        <f t="shared" si="31"/>
        <v>0</v>
      </c>
      <c r="CW30" s="16">
        <f t="shared" si="31"/>
        <v>0</v>
      </c>
      <c r="CX30" s="16">
        <f t="shared" si="31"/>
        <v>0</v>
      </c>
      <c r="CY30" s="16">
        <f t="shared" si="31"/>
        <v>0</v>
      </c>
      <c r="CZ30" s="16">
        <f t="shared" si="31"/>
        <v>0</v>
      </c>
      <c r="DA30" s="16">
        <f t="shared" si="31"/>
        <v>0</v>
      </c>
      <c r="DB30" s="16">
        <f t="shared" si="31"/>
        <v>0</v>
      </c>
      <c r="DC30" s="16">
        <f t="shared" si="31"/>
        <v>0</v>
      </c>
      <c r="DD30" s="16">
        <f t="shared" si="31"/>
        <v>0</v>
      </c>
      <c r="DE30" s="16">
        <f t="shared" si="31"/>
        <v>0</v>
      </c>
      <c r="DF30" s="16">
        <f t="shared" si="31"/>
        <v>228</v>
      </c>
      <c r="DG30" s="16">
        <f t="shared" si="31"/>
        <v>228</v>
      </c>
      <c r="DH30" s="16">
        <f t="shared" si="31"/>
        <v>248</v>
      </c>
      <c r="DI30" s="16">
        <f t="shared" si="31"/>
        <v>248</v>
      </c>
      <c r="DJ30" s="16">
        <f t="shared" si="31"/>
        <v>248</v>
      </c>
      <c r="DK30" s="16">
        <f t="shared" si="31"/>
        <v>238</v>
      </c>
      <c r="DL30" s="16">
        <f t="shared" si="31"/>
        <v>238</v>
      </c>
      <c r="DM30" s="16">
        <f t="shared" si="31"/>
        <v>285</v>
      </c>
      <c r="DN30" s="16">
        <f t="shared" si="31"/>
        <v>285</v>
      </c>
      <c r="DO30" s="16">
        <f t="shared" si="31"/>
        <v>306</v>
      </c>
      <c r="DP30" s="16">
        <f t="shared" si="31"/>
        <v>306</v>
      </c>
      <c r="DQ30" s="16">
        <f t="shared" si="31"/>
        <v>306</v>
      </c>
      <c r="DR30" s="16">
        <f t="shared" si="31"/>
        <v>306</v>
      </c>
      <c r="DS30" s="16">
        <f t="shared" si="31"/>
        <v>306</v>
      </c>
      <c r="DT30" s="16">
        <f t="shared" si="31"/>
        <v>306</v>
      </c>
      <c r="DU30" s="16">
        <f t="shared" si="31"/>
        <v>306</v>
      </c>
      <c r="DV30" s="16">
        <f t="shared" si="31"/>
        <v>306</v>
      </c>
      <c r="DW30" s="16">
        <f t="shared" si="31"/>
        <v>306</v>
      </c>
      <c r="DX30" s="16">
        <f t="shared" si="31"/>
        <v>306</v>
      </c>
      <c r="DY30" s="16">
        <f t="shared" si="31"/>
        <v>306</v>
      </c>
      <c r="DZ30" s="16">
        <f t="shared" si="31"/>
        <v>306</v>
      </c>
      <c r="EA30" s="16">
        <f t="shared" si="31"/>
        <v>306</v>
      </c>
      <c r="EB30" s="16">
        <f t="shared" si="31"/>
        <v>306</v>
      </c>
      <c r="EC30" s="16">
        <f t="shared" si="31"/>
        <v>306</v>
      </c>
      <c r="ED30" s="16">
        <f t="shared" si="31"/>
        <v>306</v>
      </c>
      <c r="EE30" s="16">
        <f t="shared" si="31"/>
        <v>306</v>
      </c>
      <c r="EF30" s="16">
        <f t="shared" si="31"/>
        <v>306</v>
      </c>
      <c r="EG30" s="16">
        <f t="shared" ref="EG30:EY33" si="32">EG2+EG9+EG16</f>
        <v>306</v>
      </c>
      <c r="EH30" s="16">
        <f t="shared" si="32"/>
        <v>306</v>
      </c>
      <c r="EI30" s="16">
        <f t="shared" si="32"/>
        <v>306</v>
      </c>
      <c r="EJ30" s="16">
        <f t="shared" si="32"/>
        <v>306</v>
      </c>
      <c r="EK30" s="16">
        <f t="shared" si="32"/>
        <v>306</v>
      </c>
      <c r="EL30" s="16">
        <f t="shared" si="32"/>
        <v>306</v>
      </c>
      <c r="EM30" s="16">
        <f t="shared" si="32"/>
        <v>306</v>
      </c>
      <c r="EN30" s="16">
        <f t="shared" si="32"/>
        <v>306</v>
      </c>
      <c r="EO30" s="16">
        <f t="shared" si="32"/>
        <v>306</v>
      </c>
      <c r="EP30" s="16">
        <f t="shared" si="32"/>
        <v>306</v>
      </c>
      <c r="EQ30" s="16">
        <f t="shared" si="32"/>
        <v>306</v>
      </c>
      <c r="ER30" s="16">
        <f t="shared" si="32"/>
        <v>306</v>
      </c>
      <c r="ES30" s="16">
        <f t="shared" si="32"/>
        <v>306</v>
      </c>
      <c r="ET30" s="16">
        <f t="shared" si="32"/>
        <v>306</v>
      </c>
      <c r="EU30" s="16">
        <f t="shared" si="32"/>
        <v>306</v>
      </c>
      <c r="EV30" s="16">
        <f t="shared" si="32"/>
        <v>306</v>
      </c>
      <c r="EW30" s="16">
        <f t="shared" si="32"/>
        <v>306</v>
      </c>
      <c r="EX30" s="16">
        <f t="shared" si="32"/>
        <v>306</v>
      </c>
      <c r="EY30" s="16">
        <f t="shared" si="32"/>
        <v>306</v>
      </c>
    </row>
    <row r="31" spans="1:155" x14ac:dyDescent="0.3">
      <c r="A31" s="36"/>
      <c r="B31" s="36"/>
      <c r="C31" s="40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177</v>
      </c>
      <c r="BU31" s="17">
        <f t="shared" si="31"/>
        <v>180</v>
      </c>
      <c r="BV31" s="17">
        <f t="shared" si="31"/>
        <v>179</v>
      </c>
      <c r="BW31" s="21">
        <f t="shared" si="31"/>
        <v>179</v>
      </c>
      <c r="BX31" s="21">
        <f t="shared" si="31"/>
        <v>166</v>
      </c>
      <c r="BY31" s="21">
        <f t="shared" si="31"/>
        <v>157</v>
      </c>
      <c r="BZ31" s="21">
        <f t="shared" si="31"/>
        <v>157</v>
      </c>
      <c r="CA31" s="21">
        <f t="shared" si="31"/>
        <v>157</v>
      </c>
      <c r="CB31" s="21">
        <f t="shared" si="31"/>
        <v>169</v>
      </c>
      <c r="CC31" s="21">
        <f t="shared" si="31"/>
        <v>169</v>
      </c>
      <c r="CD31" s="21">
        <f t="shared" si="31"/>
        <v>169</v>
      </c>
      <c r="CE31" s="21">
        <f t="shared" si="31"/>
        <v>169</v>
      </c>
      <c r="CF31" s="21">
        <f t="shared" si="31"/>
        <v>169</v>
      </c>
      <c r="CG31" s="21">
        <f t="shared" si="31"/>
        <v>179</v>
      </c>
      <c r="CH31" s="21">
        <f t="shared" si="31"/>
        <v>179</v>
      </c>
      <c r="CI31" s="21">
        <f t="shared" si="31"/>
        <v>191</v>
      </c>
      <c r="CJ31" s="21">
        <f t="shared" si="31"/>
        <v>196</v>
      </c>
      <c r="CK31" s="17">
        <f t="shared" si="31"/>
        <v>201</v>
      </c>
      <c r="CL31" s="17">
        <f t="shared" si="31"/>
        <v>201</v>
      </c>
      <c r="CM31" s="17">
        <f t="shared" si="31"/>
        <v>201</v>
      </c>
      <c r="CN31" s="17">
        <f t="shared" si="31"/>
        <v>201</v>
      </c>
      <c r="CO31" s="17">
        <f t="shared" si="31"/>
        <v>201</v>
      </c>
      <c r="CP31" s="17">
        <f t="shared" si="31"/>
        <v>201</v>
      </c>
      <c r="CQ31" s="17">
        <f t="shared" si="31"/>
        <v>194</v>
      </c>
      <c r="CR31" s="17">
        <f t="shared" si="31"/>
        <v>194</v>
      </c>
      <c r="CS31" s="17">
        <f t="shared" si="31"/>
        <v>221</v>
      </c>
      <c r="CT31" s="17">
        <f t="shared" si="31"/>
        <v>194</v>
      </c>
      <c r="CU31" s="17">
        <f t="shared" si="31"/>
        <v>194</v>
      </c>
      <c r="CV31" s="17">
        <f t="shared" si="31"/>
        <v>194</v>
      </c>
      <c r="CW31" s="17">
        <f t="shared" si="31"/>
        <v>194</v>
      </c>
      <c r="CX31" s="17">
        <f t="shared" si="31"/>
        <v>194</v>
      </c>
      <c r="CY31" s="17">
        <f t="shared" si="31"/>
        <v>194</v>
      </c>
      <c r="CZ31" s="17">
        <f t="shared" si="31"/>
        <v>213</v>
      </c>
      <c r="DA31" s="17">
        <f t="shared" si="31"/>
        <v>213</v>
      </c>
      <c r="DB31" s="17">
        <f t="shared" si="31"/>
        <v>213</v>
      </c>
      <c r="DC31" s="17">
        <f t="shared" si="31"/>
        <v>213</v>
      </c>
      <c r="DD31" s="17">
        <f t="shared" si="31"/>
        <v>213</v>
      </c>
      <c r="DE31" s="17">
        <f>DE3+DE10+DE17+DE24</f>
        <v>228</v>
      </c>
      <c r="DF31" s="21">
        <f>DF3+DF10+DF17+DF24</f>
        <v>228</v>
      </c>
      <c r="DG31" s="17">
        <f t="shared" ref="DF31:DT33" si="33">DG3+DG10+DG17+DG24</f>
        <v>228</v>
      </c>
      <c r="DH31" s="17">
        <f t="shared" si="33"/>
        <v>248</v>
      </c>
      <c r="DI31" s="17">
        <f t="shared" si="33"/>
        <v>248</v>
      </c>
      <c r="DJ31" s="17">
        <f t="shared" si="33"/>
        <v>248</v>
      </c>
      <c r="DK31" s="17">
        <f t="shared" si="33"/>
        <v>238</v>
      </c>
      <c r="DL31" s="17">
        <f t="shared" si="33"/>
        <v>238</v>
      </c>
      <c r="DM31" s="17">
        <f t="shared" si="33"/>
        <v>285</v>
      </c>
      <c r="DN31" s="17">
        <f t="shared" si="33"/>
        <v>285</v>
      </c>
      <c r="DO31" s="17">
        <f t="shared" si="33"/>
        <v>306</v>
      </c>
      <c r="DP31" s="17">
        <f t="shared" si="33"/>
        <v>306</v>
      </c>
      <c r="DQ31" s="17">
        <f t="shared" si="33"/>
        <v>306</v>
      </c>
      <c r="DR31" s="17">
        <f t="shared" si="33"/>
        <v>306</v>
      </c>
      <c r="DS31" s="17">
        <f t="shared" si="33"/>
        <v>306</v>
      </c>
      <c r="DT31" s="17">
        <f t="shared" si="33"/>
        <v>306</v>
      </c>
      <c r="DU31" s="17">
        <f t="shared" si="31"/>
        <v>306</v>
      </c>
      <c r="DV31" s="17">
        <f t="shared" si="31"/>
        <v>306</v>
      </c>
      <c r="DW31" s="17">
        <f t="shared" si="31"/>
        <v>306</v>
      </c>
      <c r="DX31" s="17">
        <f t="shared" si="31"/>
        <v>306</v>
      </c>
      <c r="DY31" s="17">
        <f t="shared" si="31"/>
        <v>306</v>
      </c>
      <c r="DZ31" s="17">
        <f t="shared" si="31"/>
        <v>306</v>
      </c>
      <c r="EA31" s="17">
        <f t="shared" si="31"/>
        <v>306</v>
      </c>
      <c r="EB31" s="17">
        <f t="shared" si="31"/>
        <v>306</v>
      </c>
      <c r="EC31" s="17">
        <f t="shared" si="31"/>
        <v>306</v>
      </c>
      <c r="ED31" s="17">
        <f t="shared" si="31"/>
        <v>306</v>
      </c>
      <c r="EE31" s="17">
        <f t="shared" si="31"/>
        <v>306</v>
      </c>
      <c r="EF31" s="17">
        <f t="shared" si="31"/>
        <v>306</v>
      </c>
      <c r="EG31" s="17">
        <f t="shared" si="32"/>
        <v>306</v>
      </c>
      <c r="EH31" s="17">
        <f t="shared" si="32"/>
        <v>306</v>
      </c>
      <c r="EI31" s="17">
        <f t="shared" si="32"/>
        <v>306</v>
      </c>
      <c r="EJ31" s="17">
        <f t="shared" si="32"/>
        <v>306</v>
      </c>
      <c r="EK31" s="17">
        <f t="shared" si="32"/>
        <v>306</v>
      </c>
      <c r="EL31" s="17">
        <f t="shared" si="32"/>
        <v>306</v>
      </c>
      <c r="EM31" s="17">
        <f t="shared" si="32"/>
        <v>306</v>
      </c>
      <c r="EN31" s="17">
        <f t="shared" si="32"/>
        <v>306</v>
      </c>
      <c r="EO31" s="17">
        <f t="shared" si="32"/>
        <v>306</v>
      </c>
      <c r="EP31" s="17">
        <f t="shared" si="32"/>
        <v>306</v>
      </c>
      <c r="EQ31" s="17">
        <f t="shared" si="32"/>
        <v>306</v>
      </c>
      <c r="ER31" s="17">
        <f t="shared" si="32"/>
        <v>306</v>
      </c>
      <c r="ES31" s="17">
        <f t="shared" si="32"/>
        <v>306</v>
      </c>
      <c r="ET31" s="17">
        <f t="shared" si="32"/>
        <v>306</v>
      </c>
      <c r="EU31" s="17">
        <f t="shared" si="32"/>
        <v>306</v>
      </c>
      <c r="EV31" s="17">
        <f t="shared" si="32"/>
        <v>306</v>
      </c>
      <c r="EW31" s="17">
        <f t="shared" si="32"/>
        <v>306</v>
      </c>
      <c r="EX31" s="17">
        <f t="shared" si="32"/>
        <v>306</v>
      </c>
      <c r="EY31" s="17">
        <f t="shared" si="32"/>
        <v>306</v>
      </c>
    </row>
    <row r="32" spans="1:155" x14ac:dyDescent="0.3">
      <c r="A32" s="36"/>
      <c r="B32" s="36"/>
      <c r="C32" s="40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192</v>
      </c>
      <c r="BU32" s="18">
        <f t="shared" si="31"/>
        <v>204.08053554737461</v>
      </c>
      <c r="BV32" s="18">
        <f t="shared" si="31"/>
        <v>203.08053554737461</v>
      </c>
      <c r="BW32" s="22">
        <f t="shared" si="31"/>
        <v>193.63813273982765</v>
      </c>
      <c r="BX32" s="22">
        <f t="shared" si="31"/>
        <v>191.63813273982765</v>
      </c>
      <c r="BY32" s="22">
        <f t="shared" si="31"/>
        <v>173</v>
      </c>
      <c r="BZ32" s="22">
        <f t="shared" si="31"/>
        <v>173</v>
      </c>
      <c r="CA32" s="22">
        <f t="shared" si="31"/>
        <v>173</v>
      </c>
      <c r="CB32" s="22">
        <f t="shared" si="31"/>
        <v>186.23631931193347</v>
      </c>
      <c r="CC32" s="22">
        <f t="shared" si="31"/>
        <v>186.23631931193347</v>
      </c>
      <c r="CD32" s="22">
        <f t="shared" si="31"/>
        <v>186.23631931193347</v>
      </c>
      <c r="CE32" s="22">
        <f t="shared" si="31"/>
        <v>186.23631931193347</v>
      </c>
      <c r="CF32" s="22">
        <f t="shared" si="31"/>
        <v>186.23631931193347</v>
      </c>
      <c r="CG32" s="22">
        <f t="shared" si="31"/>
        <v>199</v>
      </c>
      <c r="CH32" s="22">
        <f t="shared" si="31"/>
        <v>199</v>
      </c>
      <c r="CI32" s="22">
        <f t="shared" si="31"/>
        <v>212</v>
      </c>
      <c r="CJ32" s="22">
        <f t="shared" si="31"/>
        <v>218</v>
      </c>
      <c r="CK32" s="22">
        <f t="shared" si="31"/>
        <v>223</v>
      </c>
      <c r="CL32" s="22">
        <f t="shared" si="31"/>
        <v>223</v>
      </c>
      <c r="CM32" s="18">
        <f t="shared" si="31"/>
        <v>223</v>
      </c>
      <c r="CN32" s="18">
        <f t="shared" si="31"/>
        <v>201</v>
      </c>
      <c r="CO32" s="22">
        <f t="shared" si="31"/>
        <v>201</v>
      </c>
      <c r="CP32" s="22">
        <f t="shared" si="31"/>
        <v>201</v>
      </c>
      <c r="CQ32" s="22">
        <f t="shared" si="31"/>
        <v>194</v>
      </c>
      <c r="CR32" s="22">
        <f t="shared" si="31"/>
        <v>194</v>
      </c>
      <c r="CS32" s="22">
        <f t="shared" si="31"/>
        <v>242.66539011734363</v>
      </c>
      <c r="CT32" s="22">
        <f t="shared" si="31"/>
        <v>194</v>
      </c>
      <c r="CU32" s="22">
        <f t="shared" si="31"/>
        <v>194</v>
      </c>
      <c r="CV32" s="22">
        <f t="shared" si="31"/>
        <v>194</v>
      </c>
      <c r="CW32" s="22">
        <f t="shared" si="31"/>
        <v>194</v>
      </c>
      <c r="CX32" s="22">
        <f t="shared" si="31"/>
        <v>194</v>
      </c>
      <c r="CY32" s="22">
        <f t="shared" si="31"/>
        <v>194</v>
      </c>
      <c r="CZ32" s="22">
        <f t="shared" si="31"/>
        <v>213</v>
      </c>
      <c r="DA32" s="22">
        <f t="shared" si="31"/>
        <v>213</v>
      </c>
      <c r="DB32" s="22">
        <f t="shared" si="31"/>
        <v>213</v>
      </c>
      <c r="DC32" s="22">
        <f t="shared" si="31"/>
        <v>213</v>
      </c>
      <c r="DD32" s="22">
        <f t="shared" si="31"/>
        <v>213</v>
      </c>
      <c r="DE32" s="22">
        <f>DE4+DE11+DE18+DE25</f>
        <v>228</v>
      </c>
      <c r="DF32" s="22">
        <f t="shared" si="33"/>
        <v>228</v>
      </c>
      <c r="DG32" s="22">
        <f t="shared" si="33"/>
        <v>228</v>
      </c>
      <c r="DH32" s="22">
        <f t="shared" si="33"/>
        <v>228</v>
      </c>
      <c r="DI32" s="22">
        <v>251</v>
      </c>
      <c r="DJ32" s="22">
        <v>252</v>
      </c>
      <c r="DK32" s="22">
        <v>242</v>
      </c>
      <c r="DL32" s="22">
        <v>248</v>
      </c>
      <c r="DM32" s="22">
        <v>295</v>
      </c>
      <c r="DN32" s="22">
        <v>295</v>
      </c>
      <c r="DO32" s="22">
        <v>322</v>
      </c>
      <c r="DP32" s="22">
        <v>322</v>
      </c>
      <c r="DQ32" s="22">
        <v>322</v>
      </c>
      <c r="DR32" s="22">
        <v>322</v>
      </c>
      <c r="DS32" s="22">
        <v>322</v>
      </c>
      <c r="DT32" s="22">
        <v>322</v>
      </c>
      <c r="DU32" s="22">
        <v>322</v>
      </c>
      <c r="DV32" s="22">
        <v>322</v>
      </c>
      <c r="DW32" s="22">
        <v>322</v>
      </c>
      <c r="DX32" s="22">
        <v>322</v>
      </c>
      <c r="DY32" s="22">
        <f t="shared" si="31"/>
        <v>325</v>
      </c>
      <c r="DZ32" s="22">
        <f t="shared" si="31"/>
        <v>305</v>
      </c>
      <c r="EA32" s="22">
        <f t="shared" si="31"/>
        <v>315</v>
      </c>
      <c r="EB32" s="22">
        <f t="shared" si="31"/>
        <v>315</v>
      </c>
      <c r="EC32" s="22">
        <f t="shared" si="31"/>
        <v>328</v>
      </c>
      <c r="ED32" s="22">
        <f t="shared" si="31"/>
        <v>330</v>
      </c>
      <c r="EE32" s="22">
        <f t="shared" si="31"/>
        <v>332</v>
      </c>
      <c r="EF32" s="22">
        <f t="shared" si="31"/>
        <v>332</v>
      </c>
      <c r="EG32" s="22">
        <f t="shared" si="32"/>
        <v>319</v>
      </c>
      <c r="EH32" s="22">
        <f t="shared" si="32"/>
        <v>321</v>
      </c>
      <c r="EI32" s="22">
        <f t="shared" si="32"/>
        <v>321</v>
      </c>
      <c r="EJ32" s="22">
        <f t="shared" si="32"/>
        <v>321</v>
      </c>
      <c r="EK32" s="22">
        <f t="shared" si="32"/>
        <v>336</v>
      </c>
      <c r="EL32" s="22">
        <f t="shared" si="32"/>
        <v>336</v>
      </c>
      <c r="EM32" s="22">
        <f t="shared" si="32"/>
        <v>336</v>
      </c>
      <c r="EN32" s="22">
        <f t="shared" si="32"/>
        <v>336</v>
      </c>
      <c r="EO32" s="22">
        <f t="shared" si="32"/>
        <v>336</v>
      </c>
      <c r="EP32" s="22">
        <f t="shared" si="32"/>
        <v>336</v>
      </c>
      <c r="EQ32" s="22">
        <f t="shared" si="32"/>
        <v>336</v>
      </c>
      <c r="ER32" s="22">
        <f t="shared" si="32"/>
        <v>336</v>
      </c>
      <c r="ES32" s="22">
        <f t="shared" si="32"/>
        <v>336</v>
      </c>
      <c r="ET32" s="22">
        <f t="shared" si="32"/>
        <v>336</v>
      </c>
      <c r="EU32" s="22">
        <f t="shared" si="32"/>
        <v>0</v>
      </c>
      <c r="EV32" s="22">
        <f t="shared" si="32"/>
        <v>0</v>
      </c>
      <c r="EW32" s="22">
        <f t="shared" si="32"/>
        <v>0</v>
      </c>
      <c r="EX32" s="22">
        <f t="shared" si="32"/>
        <v>0</v>
      </c>
      <c r="EY32" s="22">
        <f t="shared" si="32"/>
        <v>0</v>
      </c>
    </row>
    <row r="33" spans="1:155" x14ac:dyDescent="0.3">
      <c r="A33" s="36"/>
      <c r="B33" s="36"/>
      <c r="C33" s="40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213</v>
      </c>
      <c r="BU33" s="18">
        <f t="shared" si="31"/>
        <v>211</v>
      </c>
      <c r="BV33" s="18">
        <f t="shared" si="31"/>
        <v>206</v>
      </c>
      <c r="BW33" s="22">
        <f t="shared" si="31"/>
        <v>201</v>
      </c>
      <c r="BX33" s="22">
        <f t="shared" si="31"/>
        <v>211</v>
      </c>
      <c r="BY33" s="22">
        <f t="shared" si="31"/>
        <v>192</v>
      </c>
      <c r="BZ33" s="22">
        <f t="shared" si="31"/>
        <v>189</v>
      </c>
      <c r="CA33" s="22">
        <f t="shared" si="31"/>
        <v>186</v>
      </c>
      <c r="CB33" s="22">
        <f t="shared" si="31"/>
        <v>174.20783599999999</v>
      </c>
      <c r="CC33" s="22">
        <f t="shared" si="31"/>
        <v>171.50751199999999</v>
      </c>
      <c r="CD33" s="22">
        <f t="shared" si="31"/>
        <v>171.50751199999999</v>
      </c>
      <c r="CE33" s="22">
        <f t="shared" si="31"/>
        <v>165</v>
      </c>
      <c r="CF33" s="22">
        <f t="shared" si="31"/>
        <v>172</v>
      </c>
      <c r="CG33" s="22">
        <f t="shared" si="31"/>
        <v>212</v>
      </c>
      <c r="CH33" s="22">
        <f t="shared" si="31"/>
        <v>192</v>
      </c>
      <c r="CI33" s="22">
        <f t="shared" si="31"/>
        <v>197</v>
      </c>
      <c r="CJ33" s="22">
        <f t="shared" si="31"/>
        <v>167</v>
      </c>
      <c r="CK33" s="22">
        <f t="shared" si="31"/>
        <v>195</v>
      </c>
      <c r="CL33" s="22">
        <f t="shared" si="31"/>
        <v>189</v>
      </c>
      <c r="CM33" s="18">
        <f t="shared" si="31"/>
        <v>186</v>
      </c>
      <c r="CN33" s="18">
        <f t="shared" si="31"/>
        <v>203</v>
      </c>
      <c r="CO33" s="22">
        <f t="shared" si="31"/>
        <v>217</v>
      </c>
      <c r="CP33" s="22">
        <f t="shared" si="31"/>
        <v>215</v>
      </c>
      <c r="CQ33" s="22">
        <f t="shared" si="31"/>
        <v>210</v>
      </c>
      <c r="CR33" s="22">
        <f t="shared" si="31"/>
        <v>210</v>
      </c>
      <c r="CS33" s="22">
        <f t="shared" si="31"/>
        <v>233</v>
      </c>
      <c r="CT33" s="22">
        <f t="shared" si="31"/>
        <v>230</v>
      </c>
      <c r="CU33" s="22">
        <f t="shared" si="31"/>
        <v>228</v>
      </c>
      <c r="CV33" s="22">
        <f t="shared" si="31"/>
        <v>224</v>
      </c>
      <c r="CW33" s="22">
        <f t="shared" si="31"/>
        <v>221</v>
      </c>
      <c r="CX33" s="22">
        <f t="shared" si="31"/>
        <v>246</v>
      </c>
      <c r="CY33" s="22">
        <f t="shared" si="31"/>
        <v>219</v>
      </c>
      <c r="CZ33" s="22">
        <f t="shared" si="31"/>
        <v>233</v>
      </c>
      <c r="DA33" s="22">
        <f t="shared" si="31"/>
        <v>229</v>
      </c>
      <c r="DB33" s="22">
        <f t="shared" si="31"/>
        <v>227</v>
      </c>
      <c r="DC33" s="22">
        <f t="shared" si="31"/>
        <v>252</v>
      </c>
      <c r="DD33" s="22">
        <f t="shared" si="31"/>
        <v>237</v>
      </c>
      <c r="DE33" s="22">
        <f>DE5+DE12+DE19+DE26</f>
        <v>248</v>
      </c>
      <c r="DF33" s="22">
        <f t="shared" si="33"/>
        <v>239</v>
      </c>
      <c r="DG33" s="22">
        <f t="shared" si="33"/>
        <v>230.41499999999999</v>
      </c>
      <c r="DH33" s="22">
        <f t="shared" si="33"/>
        <v>231</v>
      </c>
      <c r="DI33" s="22">
        <v>228</v>
      </c>
      <c r="DJ33" s="22">
        <v>244</v>
      </c>
      <c r="DK33" s="22">
        <v>233.51999999999998</v>
      </c>
      <c r="DL33" s="22">
        <v>272.18649999999997</v>
      </c>
      <c r="DM33" s="22">
        <v>290.59123199999999</v>
      </c>
      <c r="DN33" s="22">
        <v>287.89268735999997</v>
      </c>
      <c r="DO33" s="22">
        <v>305.9841136128</v>
      </c>
      <c r="DP33" s="22">
        <v>303.39243134054402</v>
      </c>
      <c r="DQ33" s="22">
        <v>321.66427438061982</v>
      </c>
      <c r="DR33" s="22">
        <v>333.24517851662279</v>
      </c>
      <c r="DS33" s="22">
        <v>329.76624247715125</v>
      </c>
      <c r="DT33" s="22">
        <v>326.67231762760821</v>
      </c>
      <c r="DU33" s="22">
        <v>323.64027127505608</v>
      </c>
      <c r="DV33" s="22">
        <v>340.38339517074633</v>
      </c>
      <c r="DW33" s="22">
        <v>336.6828366809076</v>
      </c>
      <c r="DX33" s="22">
        <v>333.45057994728938</v>
      </c>
      <c r="DY33" s="22">
        <v>350.56776834834363</v>
      </c>
      <c r="DZ33" s="22">
        <f t="shared" si="31"/>
        <v>325</v>
      </c>
      <c r="EA33" s="22">
        <f t="shared" si="31"/>
        <v>301</v>
      </c>
      <c r="EB33" s="22">
        <f t="shared" si="31"/>
        <v>299</v>
      </c>
      <c r="EC33" s="22">
        <f t="shared" si="31"/>
        <v>290</v>
      </c>
      <c r="ED33" s="22">
        <f t="shared" si="31"/>
        <v>280</v>
      </c>
      <c r="EE33" s="22">
        <f t="shared" si="31"/>
        <v>271</v>
      </c>
      <c r="EF33" s="22">
        <f t="shared" si="31"/>
        <v>268.40999999999997</v>
      </c>
      <c r="EG33" s="22">
        <f t="shared" si="32"/>
        <v>266.35199999999998</v>
      </c>
      <c r="EH33" s="22">
        <f t="shared" si="32"/>
        <v>259.21006</v>
      </c>
      <c r="EI33" s="22">
        <f t="shared" si="32"/>
        <v>273.04518025695313</v>
      </c>
      <c r="EJ33" s="22">
        <f t="shared" si="32"/>
        <v>270.03629318267497</v>
      </c>
      <c r="EK33" s="22">
        <f t="shared" si="32"/>
        <v>297.00735366922652</v>
      </c>
      <c r="EL33" s="22">
        <f t="shared" si="32"/>
        <v>289.94647923923799</v>
      </c>
      <c r="EM33" s="22">
        <f t="shared" si="32"/>
        <v>287.31011974425326</v>
      </c>
      <c r="EN33" s="22">
        <f>EN5+EN12+EN19</f>
        <v>325.87535729456107</v>
      </c>
      <c r="EO33" s="22">
        <f t="shared" si="32"/>
        <v>323.67861515956605</v>
      </c>
      <c r="EP33" s="22">
        <f t="shared" si="32"/>
        <v>315.70666298082574</v>
      </c>
      <c r="EQ33" s="22">
        <f t="shared" si="32"/>
        <v>312.4918552476222</v>
      </c>
      <c r="ER33" s="22">
        <f t="shared" si="32"/>
        <v>308.88001839587622</v>
      </c>
      <c r="ES33" s="22">
        <f t="shared" si="32"/>
        <v>305.79251704890754</v>
      </c>
      <c r="ET33" s="22">
        <f t="shared" si="32"/>
        <v>299.65850627840388</v>
      </c>
      <c r="EU33" s="22">
        <f t="shared" si="32"/>
        <v>0</v>
      </c>
      <c r="EV33" s="22">
        <f t="shared" si="32"/>
        <v>0</v>
      </c>
      <c r="EW33" s="22">
        <f t="shared" si="32"/>
        <v>0</v>
      </c>
      <c r="EX33" s="22">
        <f t="shared" si="32"/>
        <v>0</v>
      </c>
      <c r="EY33" s="22">
        <f t="shared" si="32"/>
        <v>0</v>
      </c>
    </row>
    <row r="34" spans="1:155" x14ac:dyDescent="0.3">
      <c r="A34" s="36"/>
      <c r="B34" s="36"/>
      <c r="C34" s="40"/>
      <c r="D34" s="15" t="s">
        <v>16</v>
      </c>
      <c r="E34" s="19" t="e">
        <f t="shared" ref="E34:BP35" si="34">E32/E30</f>
        <v>#DIV/0!</v>
      </c>
      <c r="F34" s="19" t="e">
        <f t="shared" si="34"/>
        <v>#DIV/0!</v>
      </c>
      <c r="G34" s="19" t="e">
        <f t="shared" si="34"/>
        <v>#DIV/0!</v>
      </c>
      <c r="H34" s="19" t="e">
        <f t="shared" si="34"/>
        <v>#DIV/0!</v>
      </c>
      <c r="I34" s="19" t="e">
        <f t="shared" si="34"/>
        <v>#DIV/0!</v>
      </c>
      <c r="J34" s="19" t="e">
        <f t="shared" si="34"/>
        <v>#DIV/0!</v>
      </c>
      <c r="K34" s="19" t="e">
        <f t="shared" si="34"/>
        <v>#DIV/0!</v>
      </c>
      <c r="L34" s="19" t="e">
        <f t="shared" si="34"/>
        <v>#DIV/0!</v>
      </c>
      <c r="M34" s="19" t="e">
        <f t="shared" si="34"/>
        <v>#DIV/0!</v>
      </c>
      <c r="N34" s="19" t="e">
        <f t="shared" si="34"/>
        <v>#DIV/0!</v>
      </c>
      <c r="O34" s="19" t="e">
        <f t="shared" si="34"/>
        <v>#DIV/0!</v>
      </c>
      <c r="P34" s="19" t="e">
        <f t="shared" si="34"/>
        <v>#DIV/0!</v>
      </c>
      <c r="Q34" s="19" t="e">
        <f t="shared" si="34"/>
        <v>#DIV/0!</v>
      </c>
      <c r="R34" s="19" t="e">
        <f t="shared" si="34"/>
        <v>#DIV/0!</v>
      </c>
      <c r="S34" s="19" t="e">
        <f t="shared" si="34"/>
        <v>#DIV/0!</v>
      </c>
      <c r="T34" s="19" t="e">
        <f t="shared" si="34"/>
        <v>#DIV/0!</v>
      </c>
      <c r="U34" s="19" t="e">
        <f t="shared" si="34"/>
        <v>#DIV/0!</v>
      </c>
      <c r="V34" s="19" t="e">
        <f t="shared" si="34"/>
        <v>#DIV/0!</v>
      </c>
      <c r="W34" s="19" t="e">
        <f t="shared" si="34"/>
        <v>#DIV/0!</v>
      </c>
      <c r="X34" s="19" t="e">
        <f t="shared" si="34"/>
        <v>#DIV/0!</v>
      </c>
      <c r="Y34" s="19" t="e">
        <f t="shared" si="34"/>
        <v>#DIV/0!</v>
      </c>
      <c r="Z34" s="19" t="e">
        <f t="shared" si="34"/>
        <v>#DIV/0!</v>
      </c>
      <c r="AA34" s="19" t="e">
        <f t="shared" si="34"/>
        <v>#DIV/0!</v>
      </c>
      <c r="AB34" s="19" t="e">
        <f t="shared" si="34"/>
        <v>#DIV/0!</v>
      </c>
      <c r="AC34" s="19" t="e">
        <f t="shared" si="34"/>
        <v>#DIV/0!</v>
      </c>
      <c r="AD34" s="19" t="e">
        <f t="shared" si="34"/>
        <v>#DIV/0!</v>
      </c>
      <c r="AE34" s="19" t="e">
        <f t="shared" si="34"/>
        <v>#DIV/0!</v>
      </c>
      <c r="AF34" s="19" t="e">
        <f t="shared" si="34"/>
        <v>#DIV/0!</v>
      </c>
      <c r="AG34" s="19" t="e">
        <f t="shared" si="34"/>
        <v>#DIV/0!</v>
      </c>
      <c r="AH34" s="19" t="e">
        <f t="shared" si="34"/>
        <v>#DIV/0!</v>
      </c>
      <c r="AI34" s="19" t="e">
        <f t="shared" si="34"/>
        <v>#DIV/0!</v>
      </c>
      <c r="AJ34" s="19" t="e">
        <f t="shared" si="34"/>
        <v>#DIV/0!</v>
      </c>
      <c r="AK34" s="19" t="e">
        <f t="shared" si="34"/>
        <v>#DIV/0!</v>
      </c>
      <c r="AL34" s="19" t="e">
        <f t="shared" si="34"/>
        <v>#DIV/0!</v>
      </c>
      <c r="AM34" s="19" t="e">
        <f t="shared" si="34"/>
        <v>#DIV/0!</v>
      </c>
      <c r="AN34" s="19" t="e">
        <f t="shared" si="34"/>
        <v>#DIV/0!</v>
      </c>
      <c r="AO34" s="19" t="e">
        <f t="shared" si="34"/>
        <v>#DIV/0!</v>
      </c>
      <c r="AP34" s="19" t="e">
        <f t="shared" si="34"/>
        <v>#DIV/0!</v>
      </c>
      <c r="AQ34" s="19" t="e">
        <f t="shared" si="34"/>
        <v>#DIV/0!</v>
      </c>
      <c r="AR34" s="19" t="e">
        <f t="shared" si="34"/>
        <v>#DIV/0!</v>
      </c>
      <c r="AS34" s="19" t="e">
        <f t="shared" si="34"/>
        <v>#DIV/0!</v>
      </c>
      <c r="AT34" s="19" t="e">
        <f t="shared" si="34"/>
        <v>#DIV/0!</v>
      </c>
      <c r="AU34" s="19" t="e">
        <f t="shared" si="34"/>
        <v>#DIV/0!</v>
      </c>
      <c r="AV34" s="19" t="e">
        <f t="shared" si="34"/>
        <v>#DIV/0!</v>
      </c>
      <c r="AW34" s="19" t="e">
        <f t="shared" si="34"/>
        <v>#DIV/0!</v>
      </c>
      <c r="AX34" s="19" t="e">
        <f t="shared" si="34"/>
        <v>#DIV/0!</v>
      </c>
      <c r="AY34" s="19" t="e">
        <f t="shared" si="34"/>
        <v>#DIV/0!</v>
      </c>
      <c r="AZ34" s="19" t="e">
        <f t="shared" si="34"/>
        <v>#DIV/0!</v>
      </c>
      <c r="BA34" s="19" t="e">
        <f t="shared" si="34"/>
        <v>#DIV/0!</v>
      </c>
      <c r="BB34" s="19" t="e">
        <f t="shared" si="34"/>
        <v>#DIV/0!</v>
      </c>
      <c r="BC34" s="19" t="e">
        <f t="shared" si="34"/>
        <v>#DIV/0!</v>
      </c>
      <c r="BD34" s="19" t="e">
        <f t="shared" si="34"/>
        <v>#DIV/0!</v>
      </c>
      <c r="BE34" s="19" t="e">
        <f t="shared" si="34"/>
        <v>#DIV/0!</v>
      </c>
      <c r="BF34" s="19" t="e">
        <f t="shared" si="34"/>
        <v>#DIV/0!</v>
      </c>
      <c r="BG34" s="19" t="e">
        <f t="shared" si="34"/>
        <v>#DIV/0!</v>
      </c>
      <c r="BH34" s="19" t="e">
        <f t="shared" si="34"/>
        <v>#DIV/0!</v>
      </c>
      <c r="BI34" s="19" t="e">
        <f t="shared" si="34"/>
        <v>#DIV/0!</v>
      </c>
      <c r="BJ34" s="19" t="e">
        <f t="shared" si="34"/>
        <v>#DIV/0!</v>
      </c>
      <c r="BK34" s="19" t="e">
        <f t="shared" si="34"/>
        <v>#DIV/0!</v>
      </c>
      <c r="BL34" s="19" t="e">
        <f t="shared" si="34"/>
        <v>#DIV/0!</v>
      </c>
      <c r="BM34" s="19" t="e">
        <f t="shared" si="34"/>
        <v>#DIV/0!</v>
      </c>
      <c r="BN34" s="19" t="e">
        <f t="shared" si="34"/>
        <v>#DIV/0!</v>
      </c>
      <c r="BO34" s="19" t="e">
        <f t="shared" si="34"/>
        <v>#DIV/0!</v>
      </c>
      <c r="BP34" s="19" t="e">
        <f t="shared" si="34"/>
        <v>#DIV/0!</v>
      </c>
      <c r="BQ34" s="19" t="e">
        <f t="shared" ref="BQ34:EB34" si="35">BQ32/BQ30</f>
        <v>#DIV/0!</v>
      </c>
      <c r="BR34" s="19" t="e">
        <f t="shared" si="35"/>
        <v>#DIV/0!</v>
      </c>
      <c r="BS34" s="19" t="e">
        <f t="shared" si="35"/>
        <v>#DIV/0!</v>
      </c>
      <c r="BT34" s="19" t="e">
        <f t="shared" si="35"/>
        <v>#DIV/0!</v>
      </c>
      <c r="BU34" s="19" t="e">
        <f t="shared" si="35"/>
        <v>#DIV/0!</v>
      </c>
      <c r="BV34" s="19" t="e">
        <f t="shared" si="35"/>
        <v>#DIV/0!</v>
      </c>
      <c r="BW34" s="19" t="e">
        <f t="shared" si="35"/>
        <v>#DIV/0!</v>
      </c>
      <c r="BX34" s="19" t="e">
        <f t="shared" si="35"/>
        <v>#DIV/0!</v>
      </c>
      <c r="BY34" s="19" t="e">
        <f t="shared" si="35"/>
        <v>#DIV/0!</v>
      </c>
      <c r="BZ34" s="19" t="e">
        <f t="shared" si="35"/>
        <v>#DIV/0!</v>
      </c>
      <c r="CA34" s="19" t="e">
        <f t="shared" si="35"/>
        <v>#DIV/0!</v>
      </c>
      <c r="CB34" s="19" t="e">
        <f t="shared" si="35"/>
        <v>#DIV/0!</v>
      </c>
      <c r="CC34" s="19" t="e">
        <f t="shared" si="35"/>
        <v>#DIV/0!</v>
      </c>
      <c r="CD34" s="19" t="e">
        <f t="shared" si="35"/>
        <v>#DIV/0!</v>
      </c>
      <c r="CE34" s="19" t="e">
        <f t="shared" si="35"/>
        <v>#DIV/0!</v>
      </c>
      <c r="CF34" s="19" t="e">
        <f t="shared" si="35"/>
        <v>#DIV/0!</v>
      </c>
      <c r="CG34" s="19" t="e">
        <f t="shared" si="35"/>
        <v>#DIV/0!</v>
      </c>
      <c r="CH34" s="19" t="e">
        <f t="shared" si="35"/>
        <v>#DIV/0!</v>
      </c>
      <c r="CI34" s="19" t="e">
        <f t="shared" si="35"/>
        <v>#DIV/0!</v>
      </c>
      <c r="CJ34" s="19" t="e">
        <f t="shared" si="35"/>
        <v>#DIV/0!</v>
      </c>
      <c r="CK34" s="19" t="e">
        <f t="shared" si="35"/>
        <v>#DIV/0!</v>
      </c>
      <c r="CL34" s="19" t="e">
        <f t="shared" si="35"/>
        <v>#DIV/0!</v>
      </c>
      <c r="CM34" s="19" t="e">
        <f t="shared" si="35"/>
        <v>#DIV/0!</v>
      </c>
      <c r="CN34" s="19" t="e">
        <f t="shared" si="35"/>
        <v>#DIV/0!</v>
      </c>
      <c r="CO34" s="19" t="e">
        <f t="shared" si="35"/>
        <v>#DIV/0!</v>
      </c>
      <c r="CP34" s="19" t="e">
        <f t="shared" si="35"/>
        <v>#DIV/0!</v>
      </c>
      <c r="CQ34" s="19" t="e">
        <f t="shared" si="35"/>
        <v>#DIV/0!</v>
      </c>
      <c r="CR34" s="19" t="e">
        <f t="shared" si="35"/>
        <v>#DIV/0!</v>
      </c>
      <c r="CS34" s="19" t="e">
        <f t="shared" si="35"/>
        <v>#DIV/0!</v>
      </c>
      <c r="CT34" s="19" t="e">
        <f t="shared" si="35"/>
        <v>#DIV/0!</v>
      </c>
      <c r="CU34" s="19" t="e">
        <f t="shared" si="35"/>
        <v>#DIV/0!</v>
      </c>
      <c r="CV34" s="19" t="e">
        <f t="shared" si="35"/>
        <v>#DIV/0!</v>
      </c>
      <c r="CW34" s="19" t="e">
        <f t="shared" si="35"/>
        <v>#DIV/0!</v>
      </c>
      <c r="CX34" s="19" t="e">
        <f t="shared" si="35"/>
        <v>#DIV/0!</v>
      </c>
      <c r="CY34" s="19" t="e">
        <f t="shared" si="35"/>
        <v>#DIV/0!</v>
      </c>
      <c r="CZ34" s="19" t="e">
        <f t="shared" si="35"/>
        <v>#DIV/0!</v>
      </c>
      <c r="DA34" s="19" t="e">
        <f t="shared" si="35"/>
        <v>#DIV/0!</v>
      </c>
      <c r="DB34" s="19" t="e">
        <f t="shared" si="35"/>
        <v>#DIV/0!</v>
      </c>
      <c r="DC34" s="19" t="e">
        <f t="shared" si="35"/>
        <v>#DIV/0!</v>
      </c>
      <c r="DD34" s="19" t="e">
        <f t="shared" si="35"/>
        <v>#DIV/0!</v>
      </c>
      <c r="DE34" s="19" t="e">
        <f t="shared" si="35"/>
        <v>#DIV/0!</v>
      </c>
      <c r="DF34" s="19">
        <f t="shared" si="35"/>
        <v>1</v>
      </c>
      <c r="DG34" s="19">
        <f t="shared" si="35"/>
        <v>1</v>
      </c>
      <c r="DH34" s="19">
        <f t="shared" si="35"/>
        <v>0.91935483870967738</v>
      </c>
      <c r="DI34" s="19">
        <f t="shared" si="35"/>
        <v>1.0120967741935485</v>
      </c>
      <c r="DJ34" s="19">
        <f t="shared" si="35"/>
        <v>1.0161290322580645</v>
      </c>
      <c r="DK34" s="19">
        <f t="shared" si="35"/>
        <v>1.0168067226890756</v>
      </c>
      <c r="DL34" s="19">
        <f t="shared" si="35"/>
        <v>1.0420168067226891</v>
      </c>
      <c r="DM34" s="19">
        <f t="shared" si="35"/>
        <v>1.0350877192982457</v>
      </c>
      <c r="DN34" s="19">
        <f t="shared" si="35"/>
        <v>1.0350877192982457</v>
      </c>
      <c r="DO34" s="19">
        <f t="shared" si="35"/>
        <v>1.0522875816993464</v>
      </c>
      <c r="DP34" s="19">
        <f t="shared" si="35"/>
        <v>1.0522875816993464</v>
      </c>
      <c r="DQ34" s="19">
        <f t="shared" si="35"/>
        <v>1.0522875816993464</v>
      </c>
      <c r="DR34" s="19">
        <f t="shared" si="35"/>
        <v>1.0522875816993464</v>
      </c>
      <c r="DS34" s="19">
        <f t="shared" si="35"/>
        <v>1.0522875816993464</v>
      </c>
      <c r="DT34" s="19">
        <f t="shared" si="35"/>
        <v>1.0522875816993464</v>
      </c>
      <c r="DU34" s="19">
        <f t="shared" si="35"/>
        <v>1.0522875816993464</v>
      </c>
      <c r="DV34" s="19">
        <f t="shared" si="35"/>
        <v>1.0522875816993464</v>
      </c>
      <c r="DW34" s="19">
        <f t="shared" si="35"/>
        <v>1.0522875816993464</v>
      </c>
      <c r="DX34" s="19">
        <f t="shared" si="35"/>
        <v>1.0522875816993464</v>
      </c>
      <c r="DY34" s="19">
        <f t="shared" si="35"/>
        <v>1.0620915032679739</v>
      </c>
      <c r="DZ34" s="19">
        <f t="shared" si="35"/>
        <v>0.99673202614379086</v>
      </c>
      <c r="EA34" s="19">
        <f t="shared" si="35"/>
        <v>1.0294117647058822</v>
      </c>
      <c r="EB34" s="19">
        <f t="shared" si="35"/>
        <v>1.0294117647058822</v>
      </c>
      <c r="EC34" s="19">
        <f t="shared" ref="EC34:EY34" si="36">EC32/EC30</f>
        <v>1.0718954248366013</v>
      </c>
      <c r="ED34" s="19">
        <f t="shared" si="36"/>
        <v>1.0784313725490196</v>
      </c>
      <c r="EE34" s="19">
        <f t="shared" si="36"/>
        <v>1.0849673202614378</v>
      </c>
      <c r="EF34" s="19">
        <f t="shared" si="36"/>
        <v>1.0849673202614378</v>
      </c>
      <c r="EG34" s="19">
        <f t="shared" si="36"/>
        <v>1.042483660130719</v>
      </c>
      <c r="EH34" s="19">
        <f t="shared" si="36"/>
        <v>1.0490196078431373</v>
      </c>
      <c r="EI34" s="19">
        <f t="shared" si="36"/>
        <v>1.0490196078431373</v>
      </c>
      <c r="EJ34" s="19">
        <f t="shared" si="36"/>
        <v>1.0490196078431373</v>
      </c>
      <c r="EK34" s="19">
        <f t="shared" si="36"/>
        <v>1.0980392156862746</v>
      </c>
      <c r="EL34" s="19">
        <f t="shared" si="36"/>
        <v>1.0980392156862746</v>
      </c>
      <c r="EM34" s="19">
        <f t="shared" si="36"/>
        <v>1.0980392156862746</v>
      </c>
      <c r="EN34" s="19">
        <f t="shared" si="36"/>
        <v>1.0980392156862746</v>
      </c>
      <c r="EO34" s="19">
        <f t="shared" si="36"/>
        <v>1.0980392156862746</v>
      </c>
      <c r="EP34" s="19">
        <f t="shared" si="36"/>
        <v>1.0980392156862746</v>
      </c>
      <c r="EQ34" s="19">
        <f t="shared" si="36"/>
        <v>1.0980392156862746</v>
      </c>
      <c r="ER34" s="19">
        <f t="shared" si="36"/>
        <v>1.0980392156862746</v>
      </c>
      <c r="ES34" s="19">
        <f t="shared" si="36"/>
        <v>1.0980392156862746</v>
      </c>
      <c r="ET34" s="19">
        <f t="shared" si="36"/>
        <v>1.0980392156862746</v>
      </c>
      <c r="EU34" s="19">
        <f t="shared" si="36"/>
        <v>0</v>
      </c>
      <c r="EV34" s="19">
        <f t="shared" si="36"/>
        <v>0</v>
      </c>
      <c r="EW34" s="19">
        <f t="shared" si="36"/>
        <v>0</v>
      </c>
      <c r="EX34" s="19">
        <f t="shared" si="36"/>
        <v>0</v>
      </c>
      <c r="EY34" s="19">
        <f t="shared" si="36"/>
        <v>0</v>
      </c>
    </row>
    <row r="35" spans="1:155" x14ac:dyDescent="0.3">
      <c r="A35" s="36"/>
      <c r="B35" s="36"/>
      <c r="C35" s="40"/>
      <c r="D35" s="15" t="s">
        <v>17</v>
      </c>
      <c r="E35" s="20" t="e">
        <f>E32/E31</f>
        <v>#DIV/0!</v>
      </c>
      <c r="F35" s="20" t="e">
        <f t="shared" ref="F35:AA35" si="37">F32/F31</f>
        <v>#DIV/0!</v>
      </c>
      <c r="G35" s="20" t="e">
        <f t="shared" si="37"/>
        <v>#DIV/0!</v>
      </c>
      <c r="H35" s="20" t="e">
        <f t="shared" si="37"/>
        <v>#DIV/0!</v>
      </c>
      <c r="I35" s="20" t="e">
        <f t="shared" si="37"/>
        <v>#DIV/0!</v>
      </c>
      <c r="J35" s="20" t="e">
        <f t="shared" si="37"/>
        <v>#DIV/0!</v>
      </c>
      <c r="K35" s="20" t="e">
        <f t="shared" si="37"/>
        <v>#DIV/0!</v>
      </c>
      <c r="L35" s="20" t="e">
        <f t="shared" si="37"/>
        <v>#DIV/0!</v>
      </c>
      <c r="M35" s="20" t="e">
        <f t="shared" si="37"/>
        <v>#DIV/0!</v>
      </c>
      <c r="N35" s="20" t="e">
        <f t="shared" si="37"/>
        <v>#DIV/0!</v>
      </c>
      <c r="O35" s="20" t="e">
        <f t="shared" si="37"/>
        <v>#DIV/0!</v>
      </c>
      <c r="P35" s="20" t="e">
        <f t="shared" si="37"/>
        <v>#DIV/0!</v>
      </c>
      <c r="Q35" s="20" t="e">
        <f t="shared" si="37"/>
        <v>#DIV/0!</v>
      </c>
      <c r="R35" s="20" t="e">
        <f t="shared" si="37"/>
        <v>#DIV/0!</v>
      </c>
      <c r="S35" s="20" t="e">
        <f t="shared" si="37"/>
        <v>#DIV/0!</v>
      </c>
      <c r="T35" s="20" t="e">
        <f t="shared" si="37"/>
        <v>#DIV/0!</v>
      </c>
      <c r="U35" s="20" t="e">
        <f t="shared" si="37"/>
        <v>#DIV/0!</v>
      </c>
      <c r="V35" s="20" t="e">
        <f t="shared" si="37"/>
        <v>#DIV/0!</v>
      </c>
      <c r="W35" s="20" t="e">
        <f t="shared" si="37"/>
        <v>#DIV/0!</v>
      </c>
      <c r="X35" s="20" t="e">
        <f t="shared" si="37"/>
        <v>#DIV/0!</v>
      </c>
      <c r="Y35" s="20" t="e">
        <f t="shared" si="37"/>
        <v>#DIV/0!</v>
      </c>
      <c r="Z35" s="20" t="e">
        <f t="shared" si="37"/>
        <v>#DIV/0!</v>
      </c>
      <c r="AA35" s="20" t="e">
        <f t="shared" si="37"/>
        <v>#DIV/0!</v>
      </c>
      <c r="AB35" s="20" t="e">
        <f>AB33/AB31</f>
        <v>#DIV/0!</v>
      </c>
      <c r="AC35" s="20" t="e">
        <f t="shared" si="34"/>
        <v>#DIV/0!</v>
      </c>
      <c r="AD35" s="20" t="e">
        <f t="shared" si="34"/>
        <v>#DIV/0!</v>
      </c>
      <c r="AE35" s="20" t="e">
        <f t="shared" si="34"/>
        <v>#DIV/0!</v>
      </c>
      <c r="AF35" s="20" t="e">
        <f t="shared" si="34"/>
        <v>#DIV/0!</v>
      </c>
      <c r="AG35" s="20" t="e">
        <f t="shared" si="34"/>
        <v>#DIV/0!</v>
      </c>
      <c r="AH35" s="20" t="e">
        <f t="shared" si="34"/>
        <v>#DIV/0!</v>
      </c>
      <c r="AI35" s="20" t="e">
        <f t="shared" si="34"/>
        <v>#DIV/0!</v>
      </c>
      <c r="AJ35" s="20" t="e">
        <f t="shared" si="34"/>
        <v>#DIV/0!</v>
      </c>
      <c r="AK35" s="20" t="e">
        <f t="shared" si="34"/>
        <v>#DIV/0!</v>
      </c>
      <c r="AL35" s="20" t="e">
        <f t="shared" si="34"/>
        <v>#DIV/0!</v>
      </c>
      <c r="AM35" s="20" t="e">
        <f>AM33/AM31</f>
        <v>#DIV/0!</v>
      </c>
      <c r="AN35" s="20" t="e">
        <f t="shared" si="34"/>
        <v>#DIV/0!</v>
      </c>
      <c r="AO35" s="20" t="e">
        <f t="shared" si="34"/>
        <v>#DIV/0!</v>
      </c>
      <c r="AP35" s="20" t="e">
        <f t="shared" si="34"/>
        <v>#DIV/0!</v>
      </c>
      <c r="AQ35" s="20" t="e">
        <f t="shared" si="34"/>
        <v>#DIV/0!</v>
      </c>
      <c r="AR35" s="20" t="e">
        <f t="shared" si="34"/>
        <v>#DIV/0!</v>
      </c>
      <c r="AS35" s="20" t="e">
        <f t="shared" ref="AS35:DD35" si="38">AS32/AS31</f>
        <v>#DIV/0!</v>
      </c>
      <c r="AT35" s="20" t="e">
        <f t="shared" si="38"/>
        <v>#DIV/0!</v>
      </c>
      <c r="AU35" s="20" t="e">
        <f t="shared" si="38"/>
        <v>#DIV/0!</v>
      </c>
      <c r="AV35" s="20" t="e">
        <f t="shared" si="38"/>
        <v>#DIV/0!</v>
      </c>
      <c r="AW35" s="20" t="e">
        <f t="shared" si="38"/>
        <v>#DIV/0!</v>
      </c>
      <c r="AX35" s="20" t="e">
        <f t="shared" si="38"/>
        <v>#DIV/0!</v>
      </c>
      <c r="AY35" s="20" t="e">
        <f t="shared" si="38"/>
        <v>#DIV/0!</v>
      </c>
      <c r="AZ35" s="20" t="e">
        <f t="shared" si="38"/>
        <v>#DIV/0!</v>
      </c>
      <c r="BA35" s="20" t="e">
        <f t="shared" si="38"/>
        <v>#DIV/0!</v>
      </c>
      <c r="BB35" s="20" t="e">
        <f t="shared" si="38"/>
        <v>#DIV/0!</v>
      </c>
      <c r="BC35" s="20" t="e">
        <f t="shared" si="38"/>
        <v>#DIV/0!</v>
      </c>
      <c r="BD35" s="20" t="e">
        <f t="shared" si="38"/>
        <v>#DIV/0!</v>
      </c>
      <c r="BE35" s="20" t="e">
        <f t="shared" si="38"/>
        <v>#DIV/0!</v>
      </c>
      <c r="BF35" s="20" t="e">
        <f t="shared" si="38"/>
        <v>#DIV/0!</v>
      </c>
      <c r="BG35" s="20" t="e">
        <f t="shared" si="38"/>
        <v>#DIV/0!</v>
      </c>
      <c r="BH35" s="20" t="e">
        <f t="shared" si="38"/>
        <v>#DIV/0!</v>
      </c>
      <c r="BI35" s="20" t="e">
        <f t="shared" si="38"/>
        <v>#DIV/0!</v>
      </c>
      <c r="BJ35" s="20" t="e">
        <f t="shared" si="38"/>
        <v>#DIV/0!</v>
      </c>
      <c r="BK35" s="20" t="e">
        <f t="shared" si="38"/>
        <v>#DIV/0!</v>
      </c>
      <c r="BL35" s="20" t="e">
        <f t="shared" si="38"/>
        <v>#DIV/0!</v>
      </c>
      <c r="BM35" s="20" t="e">
        <f t="shared" si="38"/>
        <v>#DIV/0!</v>
      </c>
      <c r="BN35" s="20" t="e">
        <f t="shared" si="38"/>
        <v>#DIV/0!</v>
      </c>
      <c r="BO35" s="20" t="e">
        <f t="shared" si="38"/>
        <v>#DIV/0!</v>
      </c>
      <c r="BP35" s="20" t="e">
        <f t="shared" si="38"/>
        <v>#DIV/0!</v>
      </c>
      <c r="BQ35" s="20" t="e">
        <f t="shared" si="38"/>
        <v>#DIV/0!</v>
      </c>
      <c r="BR35" s="20" t="e">
        <f t="shared" si="38"/>
        <v>#DIV/0!</v>
      </c>
      <c r="BS35" s="20" t="e">
        <f t="shared" si="38"/>
        <v>#DIV/0!</v>
      </c>
      <c r="BT35" s="20">
        <f t="shared" si="38"/>
        <v>1.0847457627118644</v>
      </c>
      <c r="BU35" s="20">
        <f t="shared" si="38"/>
        <v>1.13378075304097</v>
      </c>
      <c r="BV35" s="20">
        <f t="shared" si="38"/>
        <v>1.1345281315495788</v>
      </c>
      <c r="BW35" s="20">
        <f t="shared" si="38"/>
        <v>1.0817772778761321</v>
      </c>
      <c r="BX35" s="20">
        <f t="shared" si="38"/>
        <v>1.1544465827700461</v>
      </c>
      <c r="BY35" s="20">
        <f t="shared" si="38"/>
        <v>1.1019108280254777</v>
      </c>
      <c r="BZ35" s="20">
        <f t="shared" si="38"/>
        <v>1.1019108280254777</v>
      </c>
      <c r="CA35" s="20">
        <f t="shared" si="38"/>
        <v>1.1019108280254777</v>
      </c>
      <c r="CB35" s="20">
        <f t="shared" si="38"/>
        <v>1.101990055100198</v>
      </c>
      <c r="CC35" s="20">
        <f t="shared" si="38"/>
        <v>1.101990055100198</v>
      </c>
      <c r="CD35" s="20">
        <f t="shared" si="38"/>
        <v>1.101990055100198</v>
      </c>
      <c r="CE35" s="20">
        <f t="shared" si="38"/>
        <v>1.101990055100198</v>
      </c>
      <c r="CF35" s="20">
        <f t="shared" si="38"/>
        <v>1.101990055100198</v>
      </c>
      <c r="CG35" s="20">
        <f t="shared" si="38"/>
        <v>1.1117318435754191</v>
      </c>
      <c r="CH35" s="20">
        <f t="shared" si="38"/>
        <v>1.1117318435754191</v>
      </c>
      <c r="CI35" s="20">
        <f t="shared" si="38"/>
        <v>1.1099476439790577</v>
      </c>
      <c r="CJ35" s="20">
        <f t="shared" si="38"/>
        <v>1.1122448979591837</v>
      </c>
      <c r="CK35" s="20">
        <f t="shared" si="38"/>
        <v>1.1094527363184079</v>
      </c>
      <c r="CL35" s="20">
        <f t="shared" si="38"/>
        <v>1.1094527363184079</v>
      </c>
      <c r="CM35" s="20">
        <f t="shared" si="38"/>
        <v>1.1094527363184079</v>
      </c>
      <c r="CN35" s="20">
        <f t="shared" si="38"/>
        <v>1</v>
      </c>
      <c r="CO35" s="20">
        <f t="shared" si="38"/>
        <v>1</v>
      </c>
      <c r="CP35" s="20">
        <f t="shared" si="38"/>
        <v>1</v>
      </c>
      <c r="CQ35" s="20">
        <f t="shared" si="38"/>
        <v>1</v>
      </c>
      <c r="CR35" s="20">
        <f t="shared" si="38"/>
        <v>1</v>
      </c>
      <c r="CS35" s="20">
        <f t="shared" si="38"/>
        <v>1.0980334394449938</v>
      </c>
      <c r="CT35" s="20">
        <f t="shared" si="38"/>
        <v>1</v>
      </c>
      <c r="CU35" s="20">
        <f t="shared" si="38"/>
        <v>1</v>
      </c>
      <c r="CV35" s="20">
        <f t="shared" si="38"/>
        <v>1</v>
      </c>
      <c r="CW35" s="20">
        <f t="shared" si="38"/>
        <v>1</v>
      </c>
      <c r="CX35" s="20">
        <f t="shared" si="38"/>
        <v>1</v>
      </c>
      <c r="CY35" s="20">
        <f t="shared" si="38"/>
        <v>1</v>
      </c>
      <c r="CZ35" s="20">
        <f t="shared" si="38"/>
        <v>1</v>
      </c>
      <c r="DA35" s="20">
        <f t="shared" si="38"/>
        <v>1</v>
      </c>
      <c r="DB35" s="20">
        <f t="shared" si="38"/>
        <v>1</v>
      </c>
      <c r="DC35" s="20">
        <f t="shared" si="38"/>
        <v>1</v>
      </c>
      <c r="DD35" s="20">
        <f t="shared" si="38"/>
        <v>1</v>
      </c>
      <c r="DE35" s="20">
        <f t="shared" ref="DE35:EY35" si="39">DE32/DE31</f>
        <v>1</v>
      </c>
      <c r="DF35" s="20">
        <f t="shared" si="39"/>
        <v>1</v>
      </c>
      <c r="DG35" s="20">
        <f t="shared" si="39"/>
        <v>1</v>
      </c>
      <c r="DH35" s="20">
        <f t="shared" si="39"/>
        <v>0.91935483870967738</v>
      </c>
      <c r="DI35" s="20">
        <f t="shared" si="39"/>
        <v>1.0120967741935485</v>
      </c>
      <c r="DJ35" s="20">
        <f t="shared" si="39"/>
        <v>1.0161290322580645</v>
      </c>
      <c r="DK35" s="20">
        <f t="shared" si="39"/>
        <v>1.0168067226890756</v>
      </c>
      <c r="DL35" s="20">
        <f t="shared" si="39"/>
        <v>1.0420168067226891</v>
      </c>
      <c r="DM35" s="20">
        <f t="shared" si="39"/>
        <v>1.0350877192982457</v>
      </c>
      <c r="DN35" s="20">
        <f t="shared" si="39"/>
        <v>1.0350877192982457</v>
      </c>
      <c r="DO35" s="20">
        <f t="shared" si="39"/>
        <v>1.0522875816993464</v>
      </c>
      <c r="DP35" s="20">
        <f t="shared" si="39"/>
        <v>1.0522875816993464</v>
      </c>
      <c r="DQ35" s="20">
        <f t="shared" si="39"/>
        <v>1.0522875816993464</v>
      </c>
      <c r="DR35" s="20">
        <f t="shared" si="39"/>
        <v>1.0522875816993464</v>
      </c>
      <c r="DS35" s="20">
        <f t="shared" si="39"/>
        <v>1.0522875816993464</v>
      </c>
      <c r="DT35" s="20">
        <f t="shared" si="39"/>
        <v>1.0522875816993464</v>
      </c>
      <c r="DU35" s="20">
        <f t="shared" si="39"/>
        <v>1.0522875816993464</v>
      </c>
      <c r="DV35" s="20">
        <f t="shared" si="39"/>
        <v>1.0522875816993464</v>
      </c>
      <c r="DW35" s="20">
        <f t="shared" si="39"/>
        <v>1.0522875816993464</v>
      </c>
      <c r="DX35" s="20">
        <f t="shared" si="39"/>
        <v>1.0522875816993464</v>
      </c>
      <c r="DY35" s="20">
        <f t="shared" si="39"/>
        <v>1.0620915032679739</v>
      </c>
      <c r="DZ35" s="20">
        <f t="shared" si="39"/>
        <v>0.99673202614379086</v>
      </c>
      <c r="EA35" s="20">
        <f t="shared" si="39"/>
        <v>1.0294117647058822</v>
      </c>
      <c r="EB35" s="20">
        <f t="shared" si="39"/>
        <v>1.0294117647058822</v>
      </c>
      <c r="EC35" s="20">
        <f t="shared" si="39"/>
        <v>1.0718954248366013</v>
      </c>
      <c r="ED35" s="20">
        <f t="shared" si="39"/>
        <v>1.0784313725490196</v>
      </c>
      <c r="EE35" s="20">
        <f t="shared" si="39"/>
        <v>1.0849673202614378</v>
      </c>
      <c r="EF35" s="20">
        <f t="shared" si="39"/>
        <v>1.0849673202614378</v>
      </c>
      <c r="EG35" s="20">
        <f t="shared" si="39"/>
        <v>1.042483660130719</v>
      </c>
      <c r="EH35" s="20">
        <f t="shared" si="39"/>
        <v>1.0490196078431373</v>
      </c>
      <c r="EI35" s="20">
        <f t="shared" si="39"/>
        <v>1.0490196078431373</v>
      </c>
      <c r="EJ35" s="20">
        <f t="shared" si="39"/>
        <v>1.0490196078431373</v>
      </c>
      <c r="EK35" s="20">
        <f t="shared" si="39"/>
        <v>1.0980392156862746</v>
      </c>
      <c r="EL35" s="20">
        <f t="shared" si="39"/>
        <v>1.0980392156862746</v>
      </c>
      <c r="EM35" s="20">
        <f t="shared" si="39"/>
        <v>1.0980392156862746</v>
      </c>
      <c r="EN35" s="20">
        <f t="shared" si="39"/>
        <v>1.0980392156862746</v>
      </c>
      <c r="EO35" s="20">
        <f t="shared" si="39"/>
        <v>1.0980392156862746</v>
      </c>
      <c r="EP35" s="20">
        <f t="shared" si="39"/>
        <v>1.0980392156862746</v>
      </c>
      <c r="EQ35" s="20">
        <f t="shared" si="39"/>
        <v>1.0980392156862746</v>
      </c>
      <c r="ER35" s="20">
        <f t="shared" si="39"/>
        <v>1.0980392156862746</v>
      </c>
      <c r="ES35" s="20">
        <f t="shared" si="39"/>
        <v>1.0980392156862746</v>
      </c>
      <c r="ET35" s="20">
        <f t="shared" si="39"/>
        <v>1.0980392156862746</v>
      </c>
      <c r="EU35" s="20">
        <f t="shared" si="39"/>
        <v>0</v>
      </c>
      <c r="EV35" s="20">
        <f t="shared" si="39"/>
        <v>0</v>
      </c>
      <c r="EW35" s="20">
        <f t="shared" si="39"/>
        <v>0</v>
      </c>
      <c r="EX35" s="20">
        <f t="shared" si="39"/>
        <v>0</v>
      </c>
      <c r="EY35" s="20">
        <f t="shared" si="39"/>
        <v>0</v>
      </c>
    </row>
  </sheetData>
  <mergeCells count="15">
    <mergeCell ref="A2:A7"/>
    <mergeCell ref="B2:B7"/>
    <mergeCell ref="C2:C7"/>
    <mergeCell ref="A9:A14"/>
    <mergeCell ref="B9:B14"/>
    <mergeCell ref="C9:C14"/>
    <mergeCell ref="A30:A35"/>
    <mergeCell ref="B30:B35"/>
    <mergeCell ref="C30:C35"/>
    <mergeCell ref="A16:A21"/>
    <mergeCell ref="B16:B21"/>
    <mergeCell ref="C16:C21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0B554499FF741BFC5000104DC70B0" ma:contentTypeVersion="10" ma:contentTypeDescription="Create a new document." ma:contentTypeScope="" ma:versionID="38fad407e49700050a92eef20c858df8">
  <xsd:schema xmlns:xsd="http://www.w3.org/2001/XMLSchema" xmlns:xs="http://www.w3.org/2001/XMLSchema" xmlns:p="http://schemas.microsoft.com/office/2006/metadata/properties" xmlns:ns2="3669f6be-1cfa-4c75-a69e-6438c36ba11b" xmlns:ns3="728ea8bc-5ea8-4d4b-ae8d-a1fcf774f1b9" targetNamespace="http://schemas.microsoft.com/office/2006/metadata/properties" ma:root="true" ma:fieldsID="a53642048e2ba3a279440263b2636830" ns2:_="" ns3:_="">
    <xsd:import namespace="3669f6be-1cfa-4c75-a69e-6438c36ba11b"/>
    <xsd:import namespace="728ea8bc-5ea8-4d4b-ae8d-a1fcf774f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9f6be-1cfa-4c75-a69e-6438c36ba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ea8bc-5ea8-4d4b-ae8d-a1fcf774f1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8CFD15-A469-44AF-B545-B2716FC00F0F}">
  <ds:schemaRefs>
    <ds:schemaRef ds:uri="http://purl.org/dc/elements/1.1/"/>
    <ds:schemaRef ds:uri="http://purl.org/dc/terms/"/>
    <ds:schemaRef ds:uri="3669f6be-1cfa-4c75-a69e-6438c36ba11b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728ea8bc-5ea8-4d4b-ae8d-a1fcf774f1b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3023A8-984D-4164-BA4A-0C2850978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9f6be-1cfa-4c75-a69e-6438c36ba11b"/>
    <ds:schemaRef ds:uri="728ea8bc-5ea8-4d4b-ae8d-a1fcf774f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9FB88E-D9EB-4E94-B9D5-D07B83B72A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Data</vt:lpstr>
      <vt:lpstr>Canada</vt:lpstr>
      <vt:lpstr>US</vt:lpstr>
      <vt:lpstr>CO</vt:lpstr>
      <vt:lpstr>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NARENDRA KUMAR</dc:creator>
  <cp:keywords/>
  <dc:description/>
  <cp:lastModifiedBy>Roberto Buentello</cp:lastModifiedBy>
  <cp:revision/>
  <dcterms:created xsi:type="dcterms:W3CDTF">2024-01-08T15:44:52Z</dcterms:created>
  <dcterms:modified xsi:type="dcterms:W3CDTF">2026-08-18T19:44:32Z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0x010100D7D0B554499FF741BFC5000104DC70B0</vt:lpwstr>
  </property>
</Properties>
</file>